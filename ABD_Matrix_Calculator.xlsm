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Winter2023\MECH 7501\Project\ProjectMain\"/>
    </mc:Choice>
  </mc:AlternateContent>
  <xr:revisionPtr revIDLastSave="0" documentId="13_ncr:1_{CA6739C3-77A6-4D7B-80E7-0AB58F79D46D}" xr6:coauthVersionLast="47" xr6:coauthVersionMax="47" xr10:uidLastSave="{00000000-0000-0000-0000-000000000000}"/>
  <bookViews>
    <workbookView xWindow="-108" yWindow="-108" windowWidth="23256" windowHeight="12576" tabRatio="965" xr2:uid="{00000000-000D-0000-FFFF-FFFF00000000}"/>
  </bookViews>
  <sheets>
    <sheet name="Material" sheetId="1" r:id="rId1"/>
    <sheet name="Qb&amp;Sb" sheetId="2" r:id="rId2"/>
    <sheet name="ABD" sheetId="3" r:id="rId3"/>
  </sheets>
  <definedNames>
    <definedName name="xxx1000">ABD!$P$9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3" l="1"/>
  <c r="F21" i="3"/>
  <c r="C25" i="3"/>
  <c r="C28" i="3"/>
  <c r="C33" i="3" s="1"/>
  <c r="C27" i="3"/>
  <c r="C32" i="3" s="1"/>
  <c r="C26" i="3"/>
  <c r="C24" i="3"/>
  <c r="C23" i="3"/>
  <c r="C22" i="3"/>
  <c r="D10" i="2"/>
  <c r="D9" i="2"/>
  <c r="D8" i="2"/>
  <c r="C8" i="2" a="1"/>
  <c r="C8" i="2" s="1"/>
  <c r="B10" i="2"/>
  <c r="B9" i="2"/>
  <c r="B8" i="2"/>
  <c r="C31" i="3" l="1"/>
  <c r="C29" i="3"/>
  <c r="C30" i="3"/>
  <c r="F8" i="2"/>
  <c r="I8" i="2"/>
  <c r="E8" i="2"/>
  <c r="L8" i="2"/>
  <c r="K8" i="2"/>
  <c r="J8" i="2"/>
  <c r="H8" i="2"/>
  <c r="G8" i="2"/>
  <c r="S8" i="2" s="1"/>
  <c r="C9" i="2"/>
  <c r="K9" i="2" s="1"/>
  <c r="C10" i="2"/>
  <c r="E10" i="2" l="1"/>
  <c r="G24" i="3"/>
  <c r="G23" i="3"/>
  <c r="G9" i="2"/>
  <c r="S9" i="2" s="1"/>
  <c r="L9" i="2"/>
  <c r="J9" i="2"/>
  <c r="E9" i="2"/>
  <c r="H9" i="2"/>
  <c r="I9" i="2"/>
  <c r="F10" i="2"/>
  <c r="I10" i="2"/>
  <c r="K10" i="2"/>
  <c r="G10" i="2"/>
  <c r="S10" i="2" s="1"/>
  <c r="H10" i="2"/>
  <c r="J10" i="2"/>
  <c r="L10" i="2"/>
  <c r="F9" i="2"/>
  <c r="M8" i="2"/>
  <c r="N8" i="2" s="1"/>
  <c r="P8" i="2" l="1"/>
  <c r="V8" i="2" s="1"/>
  <c r="O8" i="2"/>
  <c r="M10" i="2"/>
  <c r="O10" i="2" s="1"/>
  <c r="M9" i="2"/>
  <c r="O9" i="2" s="1"/>
  <c r="X8" i="2" l="1"/>
  <c r="U8" i="2"/>
  <c r="W8" i="2"/>
  <c r="T8" i="2"/>
  <c r="N9" i="2"/>
  <c r="N10" i="2"/>
  <c r="P10" i="2" l="1"/>
  <c r="X10" i="2" s="1"/>
  <c r="U10" i="2"/>
  <c r="P9" i="2"/>
  <c r="X9" i="2" s="1"/>
  <c r="U9" i="2"/>
  <c r="V9" i="2" l="1"/>
  <c r="T9" i="2"/>
  <c r="W9" i="2"/>
  <c r="V10" i="2"/>
  <c r="W10" i="2"/>
  <c r="T1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Said</author>
  </authors>
  <commentList>
    <comment ref="I6" authorId="0" shapeId="0" xr:uid="{999A5B40-36E8-402A-9B84-684D3A8D526C}">
      <text>
        <r>
          <rPr>
            <b/>
            <sz val="9"/>
            <color indexed="81"/>
            <rFont val="Tahoma"/>
            <family val="2"/>
          </rPr>
          <t>Said:</t>
        </r>
        <r>
          <rPr>
            <sz val="9"/>
            <color indexed="81"/>
            <rFont val="Tahoma"/>
            <family val="2"/>
          </rPr>
          <t xml:space="preserve">
Cured Ply Thickness</t>
        </r>
      </text>
    </comment>
  </commentList>
</comments>
</file>

<file path=xl/sharedStrings.xml><?xml version="1.0" encoding="utf-8"?>
<sst xmlns="http://schemas.openxmlformats.org/spreadsheetml/2006/main" count="193" uniqueCount="110">
  <si>
    <t>E11</t>
  </si>
  <si>
    <t>E22</t>
  </si>
  <si>
    <t>G12</t>
  </si>
  <si>
    <t>Nu12</t>
  </si>
  <si>
    <t>CPT</t>
  </si>
  <si>
    <t>CTE11</t>
  </si>
  <si>
    <t>CTE22</t>
  </si>
  <si>
    <t>r</t>
  </si>
  <si>
    <t>Mat ID</t>
  </si>
  <si>
    <t>Maker</t>
  </si>
  <si>
    <t>Type</t>
  </si>
  <si>
    <t>Prepreg Code</t>
  </si>
  <si>
    <t>Resin</t>
  </si>
  <si>
    <t>Fiber</t>
  </si>
  <si>
    <t>Condition</t>
  </si>
  <si>
    <t>T/C</t>
  </si>
  <si>
    <t>[Msi]</t>
  </si>
  <si>
    <t>[In]</t>
  </si>
  <si>
    <t>[in/in/F]</t>
  </si>
  <si>
    <t>[lb/in3]</t>
  </si>
  <si>
    <t>CTD</t>
  </si>
  <si>
    <t>C</t>
  </si>
  <si>
    <t>RTD</t>
  </si>
  <si>
    <t>ETW</t>
  </si>
  <si>
    <t>T</t>
  </si>
  <si>
    <t>Cold Temperature Dry</t>
  </si>
  <si>
    <t>Room Temperature Dry</t>
  </si>
  <si>
    <t>Elevated Temperature Wet</t>
  </si>
  <si>
    <t>CPT: Cured Ply Thickness</t>
  </si>
  <si>
    <t>Composite</t>
  </si>
  <si>
    <t xml:space="preserve">Select one condition </t>
  </si>
  <si>
    <t>&lt;&lt;</t>
  </si>
  <si>
    <t>Enter the Number of Plies</t>
  </si>
  <si>
    <t>Materials List</t>
  </si>
  <si>
    <t>Q11</t>
  </si>
  <si>
    <t>Q22</t>
  </si>
  <si>
    <t>Q12</t>
  </si>
  <si>
    <t>Q16</t>
  </si>
  <si>
    <t>Q26</t>
  </si>
  <si>
    <t>Q66</t>
  </si>
  <si>
    <t>Nu21</t>
  </si>
  <si>
    <t>Compression(C)/Tension(T)</t>
  </si>
  <si>
    <t>Where</t>
  </si>
  <si>
    <t>Additional terms</t>
  </si>
  <si>
    <t>Q12-Q22+2*Q66</t>
  </si>
  <si>
    <t>2(Q12+2*Q66)</t>
  </si>
  <si>
    <t>Q11 + Q22 -4*Q66</t>
  </si>
  <si>
    <t>Q11-Q12-2*Q66</t>
  </si>
  <si>
    <t>Q11+Q22-2*Q12-2*Q66</t>
  </si>
  <si>
    <t>Top Ply Angle</t>
  </si>
  <si>
    <t>Select a Material&gt;&gt;</t>
  </si>
  <si>
    <t>Tply</t>
  </si>
  <si>
    <t>Tcomposite</t>
  </si>
  <si>
    <t>A</t>
  </si>
  <si>
    <t>B</t>
  </si>
  <si>
    <t>D</t>
  </si>
  <si>
    <t>Smeared Properties(NASA)</t>
  </si>
  <si>
    <t>K21</t>
  </si>
  <si>
    <t>K26</t>
  </si>
  <si>
    <t>K61</t>
  </si>
  <si>
    <t>K62</t>
  </si>
  <si>
    <t>K12</t>
  </si>
  <si>
    <t>Ex</t>
  </si>
  <si>
    <t>Ey</t>
  </si>
  <si>
    <t>Gxy</t>
  </si>
  <si>
    <t>vxy</t>
  </si>
  <si>
    <t>vyx</t>
  </si>
  <si>
    <t>K16</t>
  </si>
  <si>
    <t>Aij</t>
  </si>
  <si>
    <t>NASA</t>
  </si>
  <si>
    <t>KTx</t>
  </si>
  <si>
    <t>KTy</t>
  </si>
  <si>
    <t>KTxinf</t>
  </si>
  <si>
    <t>KTyinf</t>
  </si>
  <si>
    <t>-</t>
  </si>
  <si>
    <t>Don’t Delete this Sheet</t>
  </si>
  <si>
    <t>z - values</t>
  </si>
  <si>
    <t>lb/in</t>
  </si>
  <si>
    <t>lb-in/in</t>
  </si>
  <si>
    <r>
      <t>lb-in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/in</t>
    </r>
  </si>
  <si>
    <t>UnBalanced</t>
  </si>
  <si>
    <t>https://doi.org/10.1016/B978-0-85709-523-7.00006-2</t>
  </si>
  <si>
    <t>UnSymmetric</t>
  </si>
  <si>
    <t>Glass-Epoxy</t>
  </si>
  <si>
    <t>Graphite-Epoxy</t>
  </si>
  <si>
    <t>Kevlar-Epoxy</t>
  </si>
  <si>
    <t>Epoxy</t>
  </si>
  <si>
    <t>Graphite</t>
  </si>
  <si>
    <t>Kevlar</t>
  </si>
  <si>
    <t>E-Glass</t>
  </si>
  <si>
    <t>References</t>
  </si>
  <si>
    <t>https://www.researchgate.net/figure/Properties-of-the-unidirectional-E-glass-epoxy-composite-material_tbl1_229398775</t>
  </si>
  <si>
    <t>Epoxy - CY225</t>
  </si>
  <si>
    <t>(PDF) Low temperature effect on impact response of quasi-isotropic glass/epoxy laminated plates (researchgate.net)</t>
  </si>
  <si>
    <t>Progressive failure analysis</t>
  </si>
  <si>
    <t>Tension/Compression</t>
  </si>
  <si>
    <t>Coefficient of Thermal Expansion</t>
  </si>
  <si>
    <t>Table 2-3a</t>
  </si>
  <si>
    <t>Hexcel® HexPly® F185 Epoxy Resin, K285 Kevlar Fabric (matweb.com)</t>
  </si>
  <si>
    <t>Density</t>
  </si>
  <si>
    <t>https://www.researchgate.net/publication/267593123_Mechanical_Design_of_Wound_Composite_Impeller_Using_FEM</t>
  </si>
  <si>
    <t>The above values are taken from different sources mentioned on the left</t>
  </si>
  <si>
    <t>They can be changed based on different temperature conditions and for Tensile and Compressive properties</t>
  </si>
  <si>
    <t>Mechanics of Composite Materials - Robert Jhones</t>
  </si>
  <si>
    <t>Do not change the column H and I, as it can affect the calculations of ABD</t>
  </si>
  <si>
    <t>The values of ABD matrices have been verified with efunda ABD matrix calculator</t>
  </si>
  <si>
    <t>https://www.efunda.com/formulae/solid_mechanics/composites/calc_ufrp_abd_layout.cfm</t>
  </si>
  <si>
    <t>Steps</t>
  </si>
  <si>
    <t>Bottom Ply Angle</t>
  </si>
  <si>
    <t>If the buttons don’t work, you need to unlock the file by &gt; right click on file &gt; properties &gt; unblock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</si>
</sst>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name val="Symbol"/>
      <family val="1"/>
      <charset val="2"/>
    </font>
    <font>
      <b/>
      <i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Symbol"/>
      <family val="1"/>
      <charset val="2"/>
    </font>
    <font>
      <b/>
      <i/>
      <sz val="12"/>
      <color theme="1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 applyNumberFormat="0" applyFill="0" applyBorder="0" applyAlignment="0" applyProtection="0"/>
  </cellStyleXfs>
  <cellXfs count="117">
    <xf numFmtId="0" fontId="0" fillId="0" borderId="0" xfId="0"/>
    <xf numFmtId="0" fontId="2" fillId="0" borderId="0" xfId="0" applyFon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1" fontId="0" fillId="0" borderId="0" xfId="0" applyNumberFormat="1"/>
    <xf numFmtId="0" fontId="0" fillId="0" borderId="0" xfId="0" quotePrefix="1"/>
    <xf numFmtId="0" fontId="1" fillId="0" borderId="0" xfId="0" applyFont="1"/>
    <xf numFmtId="0" fontId="0" fillId="2" borderId="0" xfId="0" applyFill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right" vertical="center"/>
    </xf>
    <xf numFmtId="0" fontId="9" fillId="0" borderId="0" xfId="0" applyFont="1"/>
    <xf numFmtId="0" fontId="11" fillId="0" borderId="0" xfId="0" applyFont="1"/>
    <xf numFmtId="0" fontId="11" fillId="0" borderId="13" xfId="0" applyFont="1" applyBorder="1"/>
    <xf numFmtId="0" fontId="13" fillId="0" borderId="0" xfId="0" applyFont="1"/>
    <xf numFmtId="2" fontId="13" fillId="0" borderId="0" xfId="0" applyNumberFormat="1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1" fillId="0" borderId="2" xfId="0" applyFont="1" applyBorder="1"/>
    <xf numFmtId="0" fontId="0" fillId="0" borderId="14" xfId="0" applyBorder="1"/>
    <xf numFmtId="0" fontId="0" fillId="0" borderId="15" xfId="0" applyBorder="1"/>
    <xf numFmtId="0" fontId="5" fillId="0" borderId="6" xfId="0" applyFont="1" applyBorder="1"/>
    <xf numFmtId="0" fontId="5" fillId="0" borderId="11" xfId="0" applyFont="1" applyBorder="1"/>
    <xf numFmtId="0" fontId="0" fillId="0" borderId="6" xfId="0" applyBorder="1"/>
    <xf numFmtId="0" fontId="0" fillId="0" borderId="11" xfId="0" applyBorder="1"/>
    <xf numFmtId="0" fontId="0" fillId="0" borderId="4" xfId="0" applyBorder="1"/>
    <xf numFmtId="0" fontId="0" fillId="0" borderId="16" xfId="0" applyBorder="1"/>
    <xf numFmtId="0" fontId="0" fillId="0" borderId="17" xfId="0" applyBorder="1"/>
    <xf numFmtId="48" fontId="0" fillId="0" borderId="0" xfId="0" applyNumberForma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0" fillId="0" borderId="0" xfId="0" applyAlignment="1">
      <alignment vertical="center"/>
    </xf>
    <xf numFmtId="0" fontId="12" fillId="0" borderId="0" xfId="0" applyFont="1"/>
    <xf numFmtId="0" fontId="0" fillId="0" borderId="0" xfId="0" applyAlignment="1">
      <alignment horizontal="center"/>
    </xf>
    <xf numFmtId="0" fontId="0" fillId="3" borderId="13" xfId="0" applyFill="1" applyBorder="1"/>
    <xf numFmtId="0" fontId="1" fillId="3" borderId="13" xfId="0" applyFont="1" applyFill="1" applyBorder="1"/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1" fontId="0" fillId="3" borderId="0" xfId="0" applyNumberFormat="1" applyFill="1"/>
    <xf numFmtId="11" fontId="0" fillId="3" borderId="0" xfId="0" applyNumberFormat="1" applyFill="1" applyAlignment="1">
      <alignment horizontal="right"/>
    </xf>
    <xf numFmtId="0" fontId="0" fillId="4" borderId="13" xfId="0" applyFill="1" applyBorder="1"/>
    <xf numFmtId="164" fontId="0" fillId="3" borderId="13" xfId="0" applyNumberForma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0" fillId="5" borderId="13" xfId="0" applyFill="1" applyBorder="1"/>
    <xf numFmtId="0" fontId="2" fillId="0" borderId="0" xfId="0" applyFont="1" applyFill="1"/>
    <xf numFmtId="0" fontId="5" fillId="7" borderId="1" xfId="0" applyFont="1" applyFill="1" applyBorder="1"/>
    <xf numFmtId="0" fontId="5" fillId="7" borderId="2" xfId="0" applyFont="1" applyFill="1" applyBorder="1"/>
    <xf numFmtId="0" fontId="27" fillId="7" borderId="1" xfId="0" applyFont="1" applyFill="1" applyBorder="1"/>
    <xf numFmtId="0" fontId="5" fillId="7" borderId="3" xfId="0" applyFont="1" applyFill="1" applyBorder="1"/>
    <xf numFmtId="0" fontId="5" fillId="7" borderId="4" xfId="0" applyFont="1" applyFill="1" applyBorder="1"/>
    <xf numFmtId="0" fontId="5" fillId="7" borderId="5" xfId="0" applyFont="1" applyFill="1" applyBorder="1"/>
    <xf numFmtId="0" fontId="0" fillId="7" borderId="5" xfId="0" applyFill="1" applyBorder="1"/>
    <xf numFmtId="0" fontId="2" fillId="7" borderId="5" xfId="0" applyFont="1" applyFill="1" applyBorder="1"/>
    <xf numFmtId="0" fontId="0" fillId="7" borderId="7" xfId="0" applyFill="1" applyBorder="1"/>
    <xf numFmtId="0" fontId="2" fillId="7" borderId="7" xfId="0" applyFont="1" applyFill="1" applyBorder="1"/>
    <xf numFmtId="0" fontId="0" fillId="7" borderId="3" xfId="0" applyFill="1" applyBorder="1"/>
    <xf numFmtId="0" fontId="2" fillId="7" borderId="3" xfId="0" applyFont="1" applyFill="1" applyBorder="1"/>
    <xf numFmtId="0" fontId="0" fillId="7" borderId="1" xfId="0" applyFill="1" applyBorder="1"/>
    <xf numFmtId="0" fontId="2" fillId="7" borderId="1" xfId="0" applyFont="1" applyFill="1" applyBorder="1"/>
    <xf numFmtId="0" fontId="0" fillId="0" borderId="16" xfId="0" applyBorder="1" applyAlignment="1"/>
    <xf numFmtId="0" fontId="0" fillId="0" borderId="13" xfId="0" applyBorder="1" applyAlignment="1">
      <alignment wrapText="1"/>
    </xf>
    <xf numFmtId="0" fontId="11" fillId="0" borderId="0" xfId="0" quotePrefix="1" applyFont="1" applyBorder="1"/>
    <xf numFmtId="0" fontId="11" fillId="0" borderId="0" xfId="0" applyFont="1" applyBorder="1"/>
    <xf numFmtId="0" fontId="0" fillId="0" borderId="0" xfId="0" applyBorder="1"/>
    <xf numFmtId="0" fontId="26" fillId="0" borderId="13" xfId="1" applyBorder="1"/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1" xfId="0" applyBorder="1"/>
    <xf numFmtId="2" fontId="25" fillId="6" borderId="5" xfId="0" applyNumberFormat="1" applyFont="1" applyFill="1" applyBorder="1"/>
    <xf numFmtId="164" fontId="25" fillId="6" borderId="5" xfId="0" applyNumberFormat="1" applyFont="1" applyFill="1" applyBorder="1"/>
    <xf numFmtId="165" fontId="25" fillId="6" borderId="5" xfId="0" applyNumberFormat="1" applyFont="1" applyFill="1" applyBorder="1"/>
    <xf numFmtId="11" fontId="25" fillId="6" borderId="5" xfId="0" applyNumberFormat="1" applyFont="1" applyFill="1" applyBorder="1"/>
    <xf numFmtId="11" fontId="25" fillId="6" borderId="6" xfId="0" applyNumberFormat="1" applyFont="1" applyFill="1" applyBorder="1"/>
    <xf numFmtId="2" fontId="25" fillId="6" borderId="7" xfId="0" applyNumberFormat="1" applyFont="1" applyFill="1" applyBorder="1"/>
    <xf numFmtId="164" fontId="25" fillId="6" borderId="7" xfId="0" applyNumberFormat="1" applyFont="1" applyFill="1" applyBorder="1"/>
    <xf numFmtId="165" fontId="25" fillId="6" borderId="7" xfId="0" applyNumberFormat="1" applyFont="1" applyFill="1" applyBorder="1"/>
    <xf numFmtId="11" fontId="25" fillId="6" borderId="7" xfId="0" applyNumberFormat="1" applyFont="1" applyFill="1" applyBorder="1"/>
    <xf numFmtId="11" fontId="25" fillId="6" borderId="8" xfId="0" applyNumberFormat="1" applyFont="1" applyFill="1" applyBorder="1"/>
    <xf numFmtId="2" fontId="25" fillId="6" borderId="8" xfId="0" quotePrefix="1" applyNumberFormat="1" applyFont="1" applyFill="1" applyBorder="1" applyAlignment="1"/>
    <xf numFmtId="2" fontId="25" fillId="6" borderId="9" xfId="0" applyNumberFormat="1" applyFont="1" applyFill="1" applyBorder="1" applyAlignment="1"/>
    <xf numFmtId="164" fontId="25" fillId="6" borderId="9" xfId="0" applyNumberFormat="1" applyFont="1" applyFill="1" applyBorder="1" applyAlignment="1"/>
    <xf numFmtId="2" fontId="25" fillId="6" borderId="10" xfId="0" applyNumberFormat="1" applyFont="1" applyFill="1" applyBorder="1" applyAlignment="1"/>
    <xf numFmtId="2" fontId="25" fillId="6" borderId="0" xfId="0" applyNumberFormat="1" applyFont="1" applyFill="1" applyAlignment="1"/>
    <xf numFmtId="11" fontId="25" fillId="6" borderId="3" xfId="0" applyNumberFormat="1" applyFont="1" applyFill="1" applyBorder="1"/>
    <xf numFmtId="11" fontId="25" fillId="6" borderId="4" xfId="0" applyNumberFormat="1" applyFont="1" applyFill="1" applyBorder="1"/>
    <xf numFmtId="0" fontId="28" fillId="0" borderId="0" xfId="0" applyFont="1"/>
    <xf numFmtId="0" fontId="5" fillId="7" borderId="1" xfId="0" applyFont="1" applyFill="1" applyBorder="1" applyProtection="1">
      <protection hidden="1"/>
    </xf>
    <xf numFmtId="0" fontId="5" fillId="7" borderId="5" xfId="0" applyFont="1" applyFill="1" applyBorder="1" applyProtection="1">
      <protection hidden="1"/>
    </xf>
    <xf numFmtId="0" fontId="5" fillId="7" borderId="5" xfId="0" quotePrefix="1" applyFont="1" applyFill="1" applyBorder="1" applyProtection="1">
      <protection hidden="1"/>
    </xf>
    <xf numFmtId="0" fontId="5" fillId="7" borderId="3" xfId="0" applyFont="1" applyFill="1" applyBorder="1" applyProtection="1">
      <protection hidden="1"/>
    </xf>
    <xf numFmtId="0" fontId="0" fillId="0" borderId="1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13" xfId="0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26" fillId="0" borderId="0" xfId="1"/>
    <xf numFmtId="0" fontId="0" fillId="0" borderId="0" xfId="0" applyAlignment="1">
      <alignment horizontal="right"/>
    </xf>
    <xf numFmtId="0" fontId="0" fillId="8" borderId="0" xfId="0" applyFill="1"/>
    <xf numFmtId="0" fontId="17" fillId="0" borderId="0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129540</xdr:colOff>
          <xdr:row>17</xdr:row>
          <xdr:rowOff>7620</xdr:rowOff>
        </xdr:from>
        <xdr:to>
          <xdr:col>8</xdr:col>
          <xdr:colOff>137160</xdr:colOff>
          <xdr:row>18</xdr:row>
          <xdr:rowOff>30480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FormLayup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19</xdr:row>
          <xdr:rowOff>0</xdr:rowOff>
        </xdr:from>
        <xdr:to>
          <xdr:col>8</xdr:col>
          <xdr:colOff>129540</xdr:colOff>
          <xdr:row>20</xdr:row>
          <xdr:rowOff>91440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ClearLayup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21</xdr:row>
          <xdr:rowOff>45720</xdr:rowOff>
        </xdr:from>
        <xdr:to>
          <xdr:col>8</xdr:col>
          <xdr:colOff>137160</xdr:colOff>
          <xdr:row>23</xdr:row>
          <xdr:rowOff>38100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24</xdr:row>
          <xdr:rowOff>15240</xdr:rowOff>
        </xdr:from>
        <xdr:to>
          <xdr:col>8</xdr:col>
          <xdr:colOff>121920</xdr:colOff>
          <xdr:row>26</xdr:row>
          <xdr:rowOff>30480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594360</xdr:colOff>
      <xdr:row>0</xdr:row>
      <xdr:rowOff>70848</xdr:rowOff>
    </xdr:from>
    <xdr:to>
      <xdr:col>4</xdr:col>
      <xdr:colOff>289560</xdr:colOff>
      <xdr:row>4</xdr:row>
      <xdr:rowOff>133052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360" y="70848"/>
          <a:ext cx="2735580" cy="7937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ciencedirect.com/topics/materials-science/graphite-epoxy-composites" TargetMode="External"/><Relationship Id="rId2" Type="http://schemas.openxmlformats.org/officeDocument/2006/relationships/hyperlink" Target="https://www.researchgate.net/publication/229398775_Low_temperature_effect_on_impact_response_of_quasi-isotropic_glassepoxy_laminated_plates" TargetMode="External"/><Relationship Id="rId1" Type="http://schemas.openxmlformats.org/officeDocument/2006/relationships/hyperlink" Target="https://www.researchgate.net/figure/Properties-of-the-unidirectional-E-glass-epoxy-composite-material_tbl1_229398775" TargetMode="External"/><Relationship Id="rId5" Type="http://schemas.openxmlformats.org/officeDocument/2006/relationships/hyperlink" Target="https://www.researchgate.net/publication/267593123_Mechanical_Design_of_Wound_Composite_Impeller_Using_FEM" TargetMode="External"/><Relationship Id="rId4" Type="http://schemas.openxmlformats.org/officeDocument/2006/relationships/hyperlink" Target="https://www.matweb.com/search/datasheet_print.aspx?matguid=dea39e66cec14fc8b416ded0c834b350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funda.com/formulae/solid_mechanics/composites/calc_ufrp_abd_layout.cf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7"/>
  <sheetViews>
    <sheetView tabSelected="1" topLeftCell="A11" workbookViewId="0">
      <selection activeCell="E35" sqref="E35"/>
    </sheetView>
  </sheetViews>
  <sheetFormatPr defaultRowHeight="14.4" x14ac:dyDescent="0.3"/>
  <cols>
    <col min="3" max="3" width="22.77734375" bestFit="1" customWidth="1"/>
    <col min="4" max="4" width="23.21875" bestFit="1" customWidth="1"/>
    <col min="5" max="5" width="27.88671875" bestFit="1" customWidth="1"/>
    <col min="6" max="6" width="15.77734375" customWidth="1"/>
    <col min="7" max="7" width="16" bestFit="1" customWidth="1"/>
    <col min="8" max="8" width="9" customWidth="1"/>
    <col min="14" max="14" width="6.5546875" bestFit="1" customWidth="1"/>
    <col min="15" max="15" width="10.77734375" customWidth="1"/>
    <col min="16" max="16" width="9.6640625" customWidth="1"/>
  </cols>
  <sheetData>
    <row r="1" spans="2:17" ht="43.2" customHeight="1" x14ac:dyDescent="0.3">
      <c r="I1" s="67" t="s">
        <v>95</v>
      </c>
      <c r="O1" s="97" t="s">
        <v>96</v>
      </c>
      <c r="P1" s="98"/>
      <c r="Q1" s="66"/>
    </row>
    <row r="2" spans="2:17" x14ac:dyDescent="0.3">
      <c r="B2" s="52"/>
      <c r="C2" s="52"/>
      <c r="D2" s="52"/>
      <c r="E2" s="52"/>
      <c r="F2" s="52"/>
      <c r="G2" s="52"/>
      <c r="H2" s="52"/>
      <c r="I2" s="52"/>
      <c r="J2" s="52" t="s">
        <v>0</v>
      </c>
      <c r="K2" s="52" t="s">
        <v>1</v>
      </c>
      <c r="L2" s="52" t="s">
        <v>2</v>
      </c>
      <c r="M2" s="52" t="s">
        <v>3</v>
      </c>
      <c r="N2" s="52" t="s">
        <v>4</v>
      </c>
      <c r="O2" s="52" t="s">
        <v>5</v>
      </c>
      <c r="P2" s="53" t="s">
        <v>6</v>
      </c>
      <c r="Q2" s="54" t="s">
        <v>7</v>
      </c>
    </row>
    <row r="3" spans="2:17" x14ac:dyDescent="0.3">
      <c r="B3" s="55" t="s">
        <v>8</v>
      </c>
      <c r="C3" s="55" t="s">
        <v>9</v>
      </c>
      <c r="D3" s="55" t="s">
        <v>10</v>
      </c>
      <c r="E3" s="55" t="s">
        <v>11</v>
      </c>
      <c r="F3" s="55" t="s">
        <v>12</v>
      </c>
      <c r="G3" s="55" t="s">
        <v>13</v>
      </c>
      <c r="H3" s="55" t="s">
        <v>14</v>
      </c>
      <c r="I3" s="55" t="s">
        <v>15</v>
      </c>
      <c r="J3" s="55" t="s">
        <v>16</v>
      </c>
      <c r="K3" s="55" t="s">
        <v>16</v>
      </c>
      <c r="L3" s="55" t="s">
        <v>16</v>
      </c>
      <c r="M3" s="55"/>
      <c r="N3" s="55" t="s">
        <v>17</v>
      </c>
      <c r="O3" s="55" t="s">
        <v>18</v>
      </c>
      <c r="P3" s="56" t="s">
        <v>18</v>
      </c>
      <c r="Q3" s="57" t="s">
        <v>19</v>
      </c>
    </row>
    <row r="4" spans="2:17" x14ac:dyDescent="0.3">
      <c r="B4" s="64">
        <v>1</v>
      </c>
      <c r="C4" s="65"/>
      <c r="D4" s="65" t="s">
        <v>83</v>
      </c>
      <c r="E4" s="101"/>
      <c r="F4" s="65" t="s">
        <v>92</v>
      </c>
      <c r="G4" s="65" t="s">
        <v>89</v>
      </c>
      <c r="H4" s="93" t="s">
        <v>20</v>
      </c>
      <c r="I4" s="93" t="s">
        <v>21</v>
      </c>
      <c r="J4" s="75">
        <v>5.87</v>
      </c>
      <c r="K4" s="75">
        <v>2.024</v>
      </c>
      <c r="L4" s="76">
        <v>0.44900000000000001</v>
      </c>
      <c r="M4" s="76">
        <v>0.22</v>
      </c>
      <c r="N4" s="77">
        <v>1.4E-2</v>
      </c>
      <c r="O4" s="78"/>
      <c r="P4" s="79"/>
      <c r="Q4" s="76">
        <v>6.6000000000000003E-2</v>
      </c>
    </row>
    <row r="5" spans="2:17" x14ac:dyDescent="0.3">
      <c r="B5" s="58">
        <v>2</v>
      </c>
      <c r="C5" s="59"/>
      <c r="D5" s="59"/>
      <c r="E5" s="102"/>
      <c r="F5" s="59"/>
      <c r="G5" s="59"/>
      <c r="H5" s="94" t="s">
        <v>22</v>
      </c>
      <c r="I5" s="93" t="s">
        <v>21</v>
      </c>
      <c r="J5" s="75">
        <v>5.87</v>
      </c>
      <c r="K5" s="75">
        <v>2.024</v>
      </c>
      <c r="L5" s="76">
        <v>0.44900000000000001</v>
      </c>
      <c r="M5" s="76">
        <v>0.22</v>
      </c>
      <c r="N5" s="77">
        <v>1.4E-2</v>
      </c>
      <c r="O5" s="78"/>
      <c r="P5" s="79"/>
      <c r="Q5" s="76">
        <v>6.6000000000000003E-2</v>
      </c>
    </row>
    <row r="6" spans="2:17" x14ac:dyDescent="0.3">
      <c r="B6" s="58">
        <v>3</v>
      </c>
      <c r="C6" s="59"/>
      <c r="D6" s="59"/>
      <c r="E6" s="102"/>
      <c r="F6" s="59"/>
      <c r="G6" s="59"/>
      <c r="H6" s="94" t="s">
        <v>23</v>
      </c>
      <c r="I6" s="93" t="s">
        <v>21</v>
      </c>
      <c r="J6" s="75">
        <v>5.87</v>
      </c>
      <c r="K6" s="75">
        <v>2.024</v>
      </c>
      <c r="L6" s="76">
        <v>0.44900000000000001</v>
      </c>
      <c r="M6" s="76">
        <v>0.22</v>
      </c>
      <c r="N6" s="77">
        <v>1.4E-2</v>
      </c>
      <c r="O6" s="78"/>
      <c r="P6" s="79"/>
      <c r="Q6" s="76">
        <v>6.6000000000000003E-2</v>
      </c>
    </row>
    <row r="7" spans="2:17" x14ac:dyDescent="0.3">
      <c r="B7" s="58">
        <v>4</v>
      </c>
      <c r="C7" s="59"/>
      <c r="D7" s="59"/>
      <c r="E7" s="102"/>
      <c r="F7" s="59"/>
      <c r="G7" s="59"/>
      <c r="H7" s="95" t="s">
        <v>20</v>
      </c>
      <c r="I7" s="93" t="s">
        <v>24</v>
      </c>
      <c r="J7" s="75">
        <v>5.87</v>
      </c>
      <c r="K7" s="75">
        <v>2.024</v>
      </c>
      <c r="L7" s="76">
        <v>0.44900000000000001</v>
      </c>
      <c r="M7" s="76">
        <v>0.22</v>
      </c>
      <c r="N7" s="77">
        <v>1.4E-2</v>
      </c>
      <c r="O7" s="78"/>
      <c r="P7" s="79"/>
      <c r="Q7" s="76">
        <v>6.6000000000000003E-2</v>
      </c>
    </row>
    <row r="8" spans="2:17" x14ac:dyDescent="0.3">
      <c r="B8" s="58">
        <v>5</v>
      </c>
      <c r="C8" s="59"/>
      <c r="D8" s="59"/>
      <c r="E8" s="102"/>
      <c r="F8" s="59"/>
      <c r="G8" s="59"/>
      <c r="H8" s="94" t="s">
        <v>22</v>
      </c>
      <c r="I8" s="93" t="s">
        <v>24</v>
      </c>
      <c r="J8" s="75">
        <v>5.87</v>
      </c>
      <c r="K8" s="75">
        <v>2.024</v>
      </c>
      <c r="L8" s="76">
        <v>0.44900000000000001</v>
      </c>
      <c r="M8" s="76">
        <v>0.22</v>
      </c>
      <c r="N8" s="77">
        <v>1.4E-2</v>
      </c>
      <c r="O8" s="78"/>
      <c r="P8" s="79"/>
      <c r="Q8" s="76">
        <v>6.6000000000000003E-2</v>
      </c>
    </row>
    <row r="9" spans="2:17" x14ac:dyDescent="0.3">
      <c r="B9" s="58">
        <v>6</v>
      </c>
      <c r="C9" s="59"/>
      <c r="D9" s="59"/>
      <c r="E9" s="103"/>
      <c r="F9" s="59"/>
      <c r="G9" s="59"/>
      <c r="H9" s="94" t="s">
        <v>23</v>
      </c>
      <c r="I9" s="93" t="s">
        <v>24</v>
      </c>
      <c r="J9" s="75">
        <v>5.87</v>
      </c>
      <c r="K9" s="75">
        <v>2.024</v>
      </c>
      <c r="L9" s="76">
        <v>0.44900000000000001</v>
      </c>
      <c r="M9" s="76">
        <v>0.22</v>
      </c>
      <c r="N9" s="77">
        <v>1.4E-2</v>
      </c>
      <c r="O9" s="78"/>
      <c r="P9" s="79"/>
      <c r="Q9" s="76">
        <v>6.6000000000000003E-2</v>
      </c>
    </row>
    <row r="10" spans="2:17" x14ac:dyDescent="0.3">
      <c r="B10" s="60">
        <v>7</v>
      </c>
      <c r="C10" s="61"/>
      <c r="D10" s="61" t="s">
        <v>84</v>
      </c>
      <c r="E10" s="104"/>
      <c r="F10" s="59" t="s">
        <v>86</v>
      </c>
      <c r="G10" s="61" t="s">
        <v>87</v>
      </c>
      <c r="H10" s="94" t="s">
        <v>20</v>
      </c>
      <c r="I10" s="93" t="s">
        <v>21</v>
      </c>
      <c r="J10" s="80">
        <v>20.47</v>
      </c>
      <c r="K10" s="80">
        <v>1.4</v>
      </c>
      <c r="L10" s="81">
        <v>0.80200000000000005</v>
      </c>
      <c r="M10" s="81">
        <v>0.3</v>
      </c>
      <c r="N10" s="82">
        <v>1.0500000000000001E-2</v>
      </c>
      <c r="O10" s="83"/>
      <c r="P10" s="84"/>
      <c r="Q10" s="81">
        <v>5.5E-2</v>
      </c>
    </row>
    <row r="11" spans="2:17" x14ac:dyDescent="0.3">
      <c r="B11" s="58">
        <v>8</v>
      </c>
      <c r="C11" s="59"/>
      <c r="D11" s="59"/>
      <c r="E11" s="102"/>
      <c r="F11" s="59"/>
      <c r="G11" s="59"/>
      <c r="H11" s="94" t="s">
        <v>22</v>
      </c>
      <c r="I11" s="93" t="s">
        <v>21</v>
      </c>
      <c r="J11" s="80">
        <v>20.47</v>
      </c>
      <c r="K11" s="80">
        <v>1.4</v>
      </c>
      <c r="L11" s="81">
        <v>0.80200000000000005</v>
      </c>
      <c r="M11" s="81">
        <v>0.3</v>
      </c>
      <c r="N11" s="82">
        <v>1.0500000000000001E-2</v>
      </c>
      <c r="O11" s="78"/>
      <c r="P11" s="79"/>
      <c r="Q11" s="81">
        <v>5.5E-2</v>
      </c>
    </row>
    <row r="12" spans="2:17" x14ac:dyDescent="0.3">
      <c r="B12" s="58">
        <v>9</v>
      </c>
      <c r="C12" s="59"/>
      <c r="D12" s="59"/>
      <c r="E12" s="102"/>
      <c r="F12" s="59"/>
      <c r="G12" s="59"/>
      <c r="H12" s="94" t="s">
        <v>23</v>
      </c>
      <c r="I12" s="93" t="s">
        <v>21</v>
      </c>
      <c r="J12" s="80">
        <v>20.47</v>
      </c>
      <c r="K12" s="80">
        <v>1.4</v>
      </c>
      <c r="L12" s="81">
        <v>0.80200000000000005</v>
      </c>
      <c r="M12" s="81">
        <v>0.3</v>
      </c>
      <c r="N12" s="82">
        <v>1.0500000000000001E-2</v>
      </c>
      <c r="O12" s="78"/>
      <c r="P12" s="79"/>
      <c r="Q12" s="81">
        <v>5.5E-2</v>
      </c>
    </row>
    <row r="13" spans="2:17" x14ac:dyDescent="0.3">
      <c r="B13" s="58">
        <v>10</v>
      </c>
      <c r="C13" s="59"/>
      <c r="D13" s="59"/>
      <c r="E13" s="102"/>
      <c r="F13" s="59"/>
      <c r="G13" s="59"/>
      <c r="H13" s="95" t="s">
        <v>20</v>
      </c>
      <c r="I13" s="93" t="s">
        <v>24</v>
      </c>
      <c r="J13" s="80">
        <v>20.47</v>
      </c>
      <c r="K13" s="80">
        <v>1.4</v>
      </c>
      <c r="L13" s="81">
        <v>0.80200000000000005</v>
      </c>
      <c r="M13" s="81">
        <v>0.3</v>
      </c>
      <c r="N13" s="82">
        <v>1.0500000000000001E-2</v>
      </c>
      <c r="O13" s="78"/>
      <c r="P13" s="79"/>
      <c r="Q13" s="81">
        <v>5.5E-2</v>
      </c>
    </row>
    <row r="14" spans="2:17" x14ac:dyDescent="0.3">
      <c r="B14" s="58">
        <v>11</v>
      </c>
      <c r="C14" s="59"/>
      <c r="D14" s="59"/>
      <c r="E14" s="102"/>
      <c r="F14" s="59"/>
      <c r="G14" s="59"/>
      <c r="H14" s="94" t="s">
        <v>22</v>
      </c>
      <c r="I14" s="93" t="s">
        <v>24</v>
      </c>
      <c r="J14" s="80">
        <v>20.47</v>
      </c>
      <c r="K14" s="80">
        <v>1.4</v>
      </c>
      <c r="L14" s="81">
        <v>0.80200000000000005</v>
      </c>
      <c r="M14" s="81">
        <v>0.3</v>
      </c>
      <c r="N14" s="82">
        <v>1.0500000000000001E-2</v>
      </c>
      <c r="O14" s="78"/>
      <c r="P14" s="79"/>
      <c r="Q14" s="81">
        <v>5.5E-2</v>
      </c>
    </row>
    <row r="15" spans="2:17" x14ac:dyDescent="0.3">
      <c r="B15" s="58">
        <v>12</v>
      </c>
      <c r="C15" s="59"/>
      <c r="D15" s="59"/>
      <c r="E15" s="103"/>
      <c r="F15" s="59"/>
      <c r="G15" s="59"/>
      <c r="H15" s="94" t="s">
        <v>23</v>
      </c>
      <c r="I15" s="93" t="s">
        <v>24</v>
      </c>
      <c r="J15" s="80">
        <v>20.47</v>
      </c>
      <c r="K15" s="80">
        <v>1.4</v>
      </c>
      <c r="L15" s="81">
        <v>0.80200000000000005</v>
      </c>
      <c r="M15" s="81">
        <v>0.3</v>
      </c>
      <c r="N15" s="82">
        <v>1.0500000000000001E-2</v>
      </c>
      <c r="O15" s="78"/>
      <c r="P15" s="79"/>
      <c r="Q15" s="81">
        <v>5.5E-2</v>
      </c>
    </row>
    <row r="16" spans="2:17" x14ac:dyDescent="0.3">
      <c r="B16" s="60">
        <v>13</v>
      </c>
      <c r="C16" s="61"/>
      <c r="D16" s="61" t="s">
        <v>85</v>
      </c>
      <c r="E16" s="104"/>
      <c r="F16" s="59" t="s">
        <v>86</v>
      </c>
      <c r="G16" s="61" t="s">
        <v>88</v>
      </c>
      <c r="H16" s="94" t="s">
        <v>20</v>
      </c>
      <c r="I16" s="93" t="s">
        <v>21</v>
      </c>
      <c r="J16" s="85">
        <v>11</v>
      </c>
      <c r="K16" s="86">
        <v>0.8</v>
      </c>
      <c r="L16" s="86">
        <v>0.3</v>
      </c>
      <c r="M16" s="86">
        <v>0.34</v>
      </c>
      <c r="N16" s="87">
        <v>1.0999999999999999E-2</v>
      </c>
      <c r="O16" s="86"/>
      <c r="P16" s="86"/>
      <c r="Q16" s="88">
        <v>4.9000000000000002E-2</v>
      </c>
    </row>
    <row r="17" spans="2:20" x14ac:dyDescent="0.3">
      <c r="B17" s="58">
        <v>14</v>
      </c>
      <c r="C17" s="59"/>
      <c r="D17" s="59"/>
      <c r="E17" s="102"/>
      <c r="F17" s="59"/>
      <c r="G17" s="59"/>
      <c r="H17" s="94" t="s">
        <v>22</v>
      </c>
      <c r="I17" s="93" t="s">
        <v>21</v>
      </c>
      <c r="J17" s="85">
        <v>11</v>
      </c>
      <c r="K17" s="86">
        <v>0.8</v>
      </c>
      <c r="L17" s="86">
        <v>0.3</v>
      </c>
      <c r="M17" s="86">
        <v>0.34</v>
      </c>
      <c r="N17" s="87">
        <v>1.0999999999999999E-2</v>
      </c>
      <c r="O17" s="78"/>
      <c r="P17" s="79"/>
      <c r="Q17" s="88">
        <v>4.9000000000000002E-2</v>
      </c>
    </row>
    <row r="18" spans="2:20" x14ac:dyDescent="0.3">
      <c r="B18" s="58">
        <v>15</v>
      </c>
      <c r="C18" s="59"/>
      <c r="D18" s="59"/>
      <c r="E18" s="102"/>
      <c r="F18" s="59"/>
      <c r="G18" s="59"/>
      <c r="H18" s="94" t="s">
        <v>23</v>
      </c>
      <c r="I18" s="93" t="s">
        <v>21</v>
      </c>
      <c r="J18" s="85">
        <v>11</v>
      </c>
      <c r="K18" s="86">
        <v>0.8</v>
      </c>
      <c r="L18" s="86">
        <v>0.3</v>
      </c>
      <c r="M18" s="86">
        <v>0.34</v>
      </c>
      <c r="N18" s="87">
        <v>1.0999999999999999E-2</v>
      </c>
      <c r="O18" s="78"/>
      <c r="P18" s="79"/>
      <c r="Q18" s="88">
        <v>4.9000000000000002E-2</v>
      </c>
    </row>
    <row r="19" spans="2:20" x14ac:dyDescent="0.3">
      <c r="B19" s="58">
        <v>16</v>
      </c>
      <c r="C19" s="59"/>
      <c r="D19" s="59"/>
      <c r="E19" s="102"/>
      <c r="F19" s="59"/>
      <c r="G19" s="59"/>
      <c r="H19" s="95" t="s">
        <v>20</v>
      </c>
      <c r="I19" s="93" t="s">
        <v>24</v>
      </c>
      <c r="J19" s="85">
        <v>11</v>
      </c>
      <c r="K19" s="86">
        <v>0.8</v>
      </c>
      <c r="L19" s="86">
        <v>0.3</v>
      </c>
      <c r="M19" s="86">
        <v>0.34</v>
      </c>
      <c r="N19" s="87">
        <v>1.0999999999999999E-2</v>
      </c>
      <c r="O19" s="89"/>
      <c r="P19" s="89"/>
      <c r="Q19" s="88">
        <v>4.9000000000000002E-2</v>
      </c>
    </row>
    <row r="20" spans="2:20" x14ac:dyDescent="0.3">
      <c r="B20" s="58">
        <v>17</v>
      </c>
      <c r="C20" s="59"/>
      <c r="D20" s="59"/>
      <c r="E20" s="102"/>
      <c r="F20" s="59"/>
      <c r="G20" s="59"/>
      <c r="H20" s="94" t="s">
        <v>22</v>
      </c>
      <c r="I20" s="93" t="s">
        <v>24</v>
      </c>
      <c r="J20" s="85">
        <v>11</v>
      </c>
      <c r="K20" s="86">
        <v>0.8</v>
      </c>
      <c r="L20" s="86">
        <v>0.3</v>
      </c>
      <c r="M20" s="86">
        <v>0.34</v>
      </c>
      <c r="N20" s="87">
        <v>1.0999999999999999E-2</v>
      </c>
      <c r="O20" s="78"/>
      <c r="P20" s="79"/>
      <c r="Q20" s="88">
        <v>4.9000000000000002E-2</v>
      </c>
    </row>
    <row r="21" spans="2:20" x14ac:dyDescent="0.3">
      <c r="B21" s="62">
        <v>18</v>
      </c>
      <c r="C21" s="63"/>
      <c r="D21" s="63"/>
      <c r="E21" s="105"/>
      <c r="F21" s="63"/>
      <c r="G21" s="63"/>
      <c r="H21" s="96" t="s">
        <v>23</v>
      </c>
      <c r="I21" s="93" t="s">
        <v>24</v>
      </c>
      <c r="J21" s="85">
        <v>11</v>
      </c>
      <c r="K21" s="86">
        <v>0.8</v>
      </c>
      <c r="L21" s="86">
        <v>0.3</v>
      </c>
      <c r="M21" s="86">
        <v>0.34</v>
      </c>
      <c r="N21" s="87">
        <v>1.0999999999999999E-2</v>
      </c>
      <c r="O21" s="90"/>
      <c r="P21" s="91"/>
      <c r="Q21" s="88">
        <v>4.9000000000000002E-2</v>
      </c>
    </row>
    <row r="22" spans="2:20" x14ac:dyDescent="0.3">
      <c r="C22" s="1"/>
      <c r="D22" s="1"/>
      <c r="E22" s="100" t="s">
        <v>104</v>
      </c>
      <c r="F22" s="100"/>
      <c r="G22" s="100"/>
      <c r="H22" s="100"/>
      <c r="I22" s="100"/>
      <c r="J22" s="2"/>
      <c r="K22" s="2"/>
      <c r="L22" s="3"/>
      <c r="M22" s="3"/>
      <c r="N22" s="4"/>
      <c r="O22" s="5"/>
      <c r="P22" s="5"/>
      <c r="Q22" s="3"/>
    </row>
    <row r="23" spans="2:20" ht="15.6" x14ac:dyDescent="0.3">
      <c r="C23" s="36" t="s">
        <v>90</v>
      </c>
      <c r="K23" s="92" t="s">
        <v>101</v>
      </c>
      <c r="L23" s="92"/>
      <c r="M23" s="92"/>
      <c r="N23" s="92"/>
      <c r="O23" s="92"/>
      <c r="P23" s="92"/>
      <c r="Q23" s="92"/>
      <c r="R23" s="92"/>
      <c r="S23" s="92"/>
      <c r="T23" s="92"/>
    </row>
    <row r="24" spans="2:20" ht="15.6" x14ac:dyDescent="0.3">
      <c r="C24" s="99" t="s">
        <v>83</v>
      </c>
      <c r="D24" s="71" t="s">
        <v>91</v>
      </c>
      <c r="K24" s="92" t="s">
        <v>102</v>
      </c>
      <c r="L24" s="92"/>
      <c r="M24" s="92"/>
      <c r="N24" s="92"/>
      <c r="O24" s="92"/>
      <c r="P24" s="92"/>
      <c r="Q24" s="92"/>
      <c r="R24" s="92"/>
      <c r="S24" s="92"/>
      <c r="T24" s="92"/>
    </row>
    <row r="25" spans="2:20" x14ac:dyDescent="0.3">
      <c r="C25" s="99"/>
      <c r="D25" s="71" t="s">
        <v>93</v>
      </c>
    </row>
    <row r="26" spans="2:20" x14ac:dyDescent="0.3">
      <c r="C26" s="72" t="s">
        <v>84</v>
      </c>
      <c r="D26" s="71" t="s">
        <v>94</v>
      </c>
    </row>
    <row r="27" spans="2:20" x14ac:dyDescent="0.3">
      <c r="C27" s="99" t="s">
        <v>85</v>
      </c>
      <c r="D27" s="74" t="s">
        <v>97</v>
      </c>
      <c r="E27" t="s">
        <v>103</v>
      </c>
    </row>
    <row r="28" spans="2:20" x14ac:dyDescent="0.3">
      <c r="C28" s="99"/>
      <c r="D28" s="73" t="s">
        <v>4</v>
      </c>
      <c r="E28" s="71" t="s">
        <v>98</v>
      </c>
    </row>
    <row r="29" spans="2:20" x14ac:dyDescent="0.3">
      <c r="C29" s="99"/>
      <c r="D29" s="73" t="s">
        <v>99</v>
      </c>
      <c r="E29" s="71" t="s">
        <v>100</v>
      </c>
      <c r="F29" s="6"/>
    </row>
    <row r="30" spans="2:20" x14ac:dyDescent="0.3">
      <c r="C30" t="s">
        <v>20</v>
      </c>
      <c r="D30" t="s">
        <v>25</v>
      </c>
    </row>
    <row r="31" spans="2:20" x14ac:dyDescent="0.3">
      <c r="C31" t="s">
        <v>22</v>
      </c>
      <c r="D31" t="s">
        <v>26</v>
      </c>
    </row>
    <row r="32" spans="2:20" x14ac:dyDescent="0.3">
      <c r="C32" t="s">
        <v>23</v>
      </c>
      <c r="D32" t="s">
        <v>27</v>
      </c>
    </row>
    <row r="34" spans="3:7" x14ac:dyDescent="0.3">
      <c r="C34" s="1" t="s">
        <v>28</v>
      </c>
    </row>
    <row r="37" spans="3:7" x14ac:dyDescent="0.3">
      <c r="C37" s="51"/>
      <c r="D37" s="48"/>
      <c r="E37" s="48"/>
      <c r="F37" s="48"/>
      <c r="G37" s="48"/>
    </row>
  </sheetData>
  <mergeCells count="7">
    <mergeCell ref="O1:P1"/>
    <mergeCell ref="C24:C25"/>
    <mergeCell ref="C27:C29"/>
    <mergeCell ref="E22:I22"/>
    <mergeCell ref="E4:E9"/>
    <mergeCell ref="E10:E15"/>
    <mergeCell ref="E16:E21"/>
  </mergeCells>
  <hyperlinks>
    <hyperlink ref="D24" r:id="rId1" xr:uid="{79924535-13C2-494B-A65E-10F860446765}"/>
    <hyperlink ref="D25" r:id="rId2" display="https://www.researchgate.net/publication/229398775_Low_temperature_effect_on_impact_response_of_quasi-isotropic_glassepoxy_laminated_plates" xr:uid="{C81A231F-8385-4392-8B99-C9C53835F220}"/>
    <hyperlink ref="D26" r:id="rId3" display="https://www.sciencedirect.com/topics/materials-science/graphite-epoxy-composites" xr:uid="{B3E3912D-C19A-4A60-9FC3-C7BBD0EA8C22}"/>
    <hyperlink ref="E28" r:id="rId4" display="https://www.matweb.com/search/datasheet_print.aspx?matguid=dea39e66cec14fc8b416ded0c834b350" xr:uid="{D68CD16F-662D-441E-90C9-EB4E2E85C212}"/>
    <hyperlink ref="E29" r:id="rId5" xr:uid="{EFBA0FF5-BD11-427A-86E0-6088E252BA3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5B98-222C-4909-8D27-A502B45BFAC3}">
  <sheetPr codeName="Sheet2"/>
  <dimension ref="A1:X100"/>
  <sheetViews>
    <sheetView zoomScale="85" zoomScaleNormal="85" workbookViewId="0">
      <selection activeCell="I13" sqref="I13"/>
    </sheetView>
  </sheetViews>
  <sheetFormatPr defaultRowHeight="15.6" x14ac:dyDescent="0.3"/>
  <cols>
    <col min="1" max="1" width="13.6640625" bestFit="1" customWidth="1"/>
    <col min="2" max="2" width="14" bestFit="1" customWidth="1"/>
    <col min="3" max="3" width="14.109375" customWidth="1"/>
    <col min="4" max="4" width="17.88671875" customWidth="1"/>
    <col min="5" max="5" width="11.6640625" customWidth="1"/>
    <col min="6" max="6" width="11.21875" customWidth="1"/>
    <col min="11" max="12" width="8.88671875" style="15"/>
    <col min="13" max="13" width="10.5546875" style="15" bestFit="1" customWidth="1"/>
    <col min="20" max="20" width="12.33203125" bestFit="1" customWidth="1"/>
    <col min="21" max="21" width="15.88671875" bestFit="1" customWidth="1"/>
    <col min="22" max="22" width="13.77734375" bestFit="1" customWidth="1"/>
    <col min="23" max="23" width="15" bestFit="1" customWidth="1"/>
    <col min="24" max="24" width="21" bestFit="1" customWidth="1"/>
  </cols>
  <sheetData>
    <row r="1" spans="1:24" x14ac:dyDescent="0.3"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</row>
    <row r="2" spans="1:24" ht="21" x14ac:dyDescent="0.4">
      <c r="A2" s="107" t="s">
        <v>14</v>
      </c>
      <c r="B2" s="107"/>
      <c r="D2" s="8" t="s">
        <v>20</v>
      </c>
      <c r="E2" s="11" t="s">
        <v>31</v>
      </c>
      <c r="F2" s="10" t="s">
        <v>30</v>
      </c>
      <c r="G2" s="10"/>
      <c r="H2" s="10"/>
    </row>
    <row r="3" spans="1:24" x14ac:dyDescent="0.3">
      <c r="B3" s="7"/>
      <c r="C3" s="109"/>
      <c r="D3" s="109"/>
      <c r="E3" s="109"/>
      <c r="F3" s="109"/>
      <c r="G3" s="109"/>
    </row>
    <row r="4" spans="1:24" x14ac:dyDescent="0.3">
      <c r="A4" s="7" t="s">
        <v>41</v>
      </c>
      <c r="B4" s="7"/>
      <c r="D4" s="8" t="s">
        <v>21</v>
      </c>
    </row>
    <row r="5" spans="1:24" x14ac:dyDescent="0.3">
      <c r="B5" s="7"/>
      <c r="C5" s="109"/>
      <c r="D5" s="109"/>
      <c r="E5" s="109"/>
      <c r="F5" s="109"/>
      <c r="G5" s="109"/>
      <c r="K5" s="16"/>
      <c r="M5" s="21"/>
      <c r="T5" s="22" t="s">
        <v>43</v>
      </c>
      <c r="U5" s="23"/>
      <c r="V5" s="23"/>
      <c r="W5" s="23"/>
      <c r="X5" s="24"/>
    </row>
    <row r="6" spans="1:24" x14ac:dyDescent="0.3">
      <c r="E6" s="9" t="s">
        <v>0</v>
      </c>
      <c r="F6" s="9" t="s">
        <v>1</v>
      </c>
      <c r="G6" s="9" t="s">
        <v>2</v>
      </c>
      <c r="H6" s="9" t="s">
        <v>3</v>
      </c>
      <c r="I6" s="9" t="s">
        <v>4</v>
      </c>
      <c r="J6" s="9" t="s">
        <v>5</v>
      </c>
      <c r="K6" s="17" t="s">
        <v>6</v>
      </c>
      <c r="L6" s="19" t="s">
        <v>7</v>
      </c>
      <c r="M6" s="17" t="s">
        <v>40</v>
      </c>
      <c r="N6" s="9" t="s">
        <v>34</v>
      </c>
      <c r="O6" s="9" t="s">
        <v>35</v>
      </c>
      <c r="P6" s="9" t="s">
        <v>36</v>
      </c>
      <c r="Q6" s="9" t="s">
        <v>37</v>
      </c>
      <c r="R6" s="9" t="s">
        <v>38</v>
      </c>
      <c r="S6" s="9" t="s">
        <v>39</v>
      </c>
      <c r="T6" s="25" t="s">
        <v>45</v>
      </c>
      <c r="U6" s="9" t="s">
        <v>46</v>
      </c>
      <c r="V6" s="9" t="s">
        <v>47</v>
      </c>
      <c r="W6" s="9" t="s">
        <v>44</v>
      </c>
      <c r="X6" s="26" t="s">
        <v>48</v>
      </c>
    </row>
    <row r="7" spans="1:24" x14ac:dyDescent="0.3">
      <c r="B7" s="7" t="s">
        <v>29</v>
      </c>
      <c r="C7" s="7" t="s">
        <v>14</v>
      </c>
      <c r="D7" s="7" t="s">
        <v>15</v>
      </c>
      <c r="E7" s="9" t="s">
        <v>16</v>
      </c>
      <c r="F7" s="9" t="s">
        <v>16</v>
      </c>
      <c r="G7" s="9" t="s">
        <v>16</v>
      </c>
      <c r="H7" s="9"/>
      <c r="I7" s="9" t="s">
        <v>17</v>
      </c>
      <c r="J7" s="9" t="s">
        <v>18</v>
      </c>
      <c r="K7" s="17" t="s">
        <v>18</v>
      </c>
      <c r="L7" s="17" t="s">
        <v>19</v>
      </c>
      <c r="N7" s="9" t="s">
        <v>16</v>
      </c>
      <c r="O7" s="9" t="s">
        <v>16</v>
      </c>
      <c r="P7" s="9" t="s">
        <v>16</v>
      </c>
      <c r="Q7" s="9" t="s">
        <v>16</v>
      </c>
      <c r="R7" s="9" t="s">
        <v>16</v>
      </c>
      <c r="S7" s="9" t="s">
        <v>16</v>
      </c>
      <c r="T7" s="27"/>
      <c r="X7" s="28"/>
    </row>
    <row r="8" spans="1:24" x14ac:dyDescent="0.3">
      <c r="A8">
        <v>1</v>
      </c>
      <c r="B8" t="str">
        <f>Material!D4</f>
        <v>Glass-Epoxy</v>
      </c>
      <c r="C8" t="str">
        <f t="array" ref="C8:C10">D2</f>
        <v>CTD</v>
      </c>
      <c r="D8" t="str">
        <f>D4</f>
        <v>C</v>
      </c>
      <c r="E8">
        <f>IF($D$8="C",INDEX(Material!$H$4:$Q$6,MATCH('Qb&amp;Sb'!$C$8,Material!$H$4:$H$6,0),MATCH('Qb&amp;Sb'!E6,Material!$H$2:$Q$2,0)),INDEX(Material!$H$7:$Q$9,MATCH('Qb&amp;Sb'!$C$8,Material!$H$7:$H$9,0),MATCH('Qb&amp;Sb'!E6,Material!$H$2:$Q$2,0)))</f>
        <v>5.87</v>
      </c>
      <c r="F8">
        <f>IF($D$8="C",INDEX(Material!$H$4:$Q$6,MATCH('Qb&amp;Sb'!$C$8,Material!$H$4:$H$6,0),MATCH('Qb&amp;Sb'!F6,Material!$H$2:$Q$2,0)),INDEX(Material!$H$7:$Q$9,MATCH('Qb&amp;Sb'!$C$8,Material!$H$7:$H$9,0),MATCH('Qb&amp;Sb'!F6,Material!$H$2:$Q$2,0)))</f>
        <v>2.024</v>
      </c>
      <c r="G8">
        <f>IF($D$8="C",INDEX(Material!$H$4:$Q$6,MATCH('Qb&amp;Sb'!$C$8,Material!$H$4:$H$6,0),MATCH('Qb&amp;Sb'!G6,Material!$H$2:$Q$2,0)),INDEX(Material!$H$7:$Q$9,MATCH('Qb&amp;Sb'!$C$8,Material!$H$7:$H$9,0),MATCH('Qb&amp;Sb'!G6,Material!$H$2:$Q$2,0)))</f>
        <v>0.44900000000000001</v>
      </c>
      <c r="H8">
        <f>IF($D$8="C",INDEX(Material!$H$4:$Q$6,MATCH('Qb&amp;Sb'!$C$8,Material!$H$4:$H$6,0),MATCH('Qb&amp;Sb'!H6,Material!$H$2:$Q$2,0)),INDEX(Material!$H$7:$Q$9,MATCH('Qb&amp;Sb'!$C$8,Material!$H$7:$H$9,0),MATCH('Qb&amp;Sb'!H6,Material!$H$2:$Q$2,0)))</f>
        <v>0.22</v>
      </c>
      <c r="I8">
        <f>IF($D$8="C",INDEX(Material!$H$4:$Q$6,MATCH('Qb&amp;Sb'!$C$8,Material!$H$4:$H$6,0),MATCH('Qb&amp;Sb'!I6,Material!$H$2:$Q$2,0)),INDEX(Material!$H$7:$Q$9,MATCH('Qb&amp;Sb'!$C$8,Material!$H$7:$H$9,0),MATCH('Qb&amp;Sb'!I6,Material!$H$2:$Q$2,0)))</f>
        <v>1.4E-2</v>
      </c>
      <c r="J8">
        <f>IF($D$8="C",INDEX(Material!$H$4:$Q$6,MATCH('Qb&amp;Sb'!$C$8,Material!$H$4:$H$6,0),MATCH('Qb&amp;Sb'!J6,Material!$H$2:$Q$2,0)),INDEX(Material!$H$7:$Q$9,MATCH('Qb&amp;Sb'!$C$8,Material!$H$7:$H$9,0),MATCH('Qb&amp;Sb'!J6,Material!$H$2:$Q$2,0)))</f>
        <v>0</v>
      </c>
      <c r="K8" s="15">
        <f>IF($D$8="C",INDEX(Material!$H$4:$Q$6,MATCH('Qb&amp;Sb'!$C$8,Material!$H$4:$H$6,0),MATCH('Qb&amp;Sb'!K6,Material!$H$2:$Q$2,0)),INDEX(Material!$H$7:$Q$9,MATCH('Qb&amp;Sb'!$C$8,Material!$H$7:$H$9,0),MATCH('Qb&amp;Sb'!K6,Material!$H$2:$Q$2,0)))</f>
        <v>0</v>
      </c>
      <c r="L8" s="15">
        <f>IF($D$8="C",INDEX(Material!$H$4:$Q$6,MATCH('Qb&amp;Sb'!$C$8,Material!$H$4:$H$6,0),MATCH('Qb&amp;Sb'!L6,Material!$H$2:$Q$2,0)),INDEX(Material!$H$7:$Q$9,MATCH('Qb&amp;Sb'!$C$8,Material!$H$7:$H$9,0),MATCH('Qb&amp;Sb'!L6,Material!$H$2:$Q$2,0)))</f>
        <v>6.6000000000000003E-2</v>
      </c>
      <c r="M8" s="15">
        <f>(F8/E8)*H8</f>
        <v>7.5856899488926752E-2</v>
      </c>
      <c r="N8">
        <f>E8/(1-(H8*M8))</f>
        <v>5.9696241799084362</v>
      </c>
      <c r="O8">
        <f>F8/(1-(H8*M8))</f>
        <v>2.0583508245544588</v>
      </c>
      <c r="P8">
        <f>N8*M8</f>
        <v>0.45283718140198104</v>
      </c>
      <c r="Q8">
        <v>0</v>
      </c>
      <c r="R8">
        <v>0</v>
      </c>
      <c r="S8">
        <f>G8</f>
        <v>0.44900000000000001</v>
      </c>
      <c r="T8" s="27">
        <f>2*(P8+2*S8)</f>
        <v>2.7016743628039621</v>
      </c>
      <c r="U8">
        <f>N8+O8-4*S8</f>
        <v>6.2319750044628952</v>
      </c>
      <c r="V8">
        <f>N8-P8-2*S8</f>
        <v>4.6187869985064554</v>
      </c>
      <c r="W8">
        <f>P8-O8+2*S8</f>
        <v>-0.70751364315247767</v>
      </c>
      <c r="X8" s="28">
        <f>N8+O8-2*P8-2*S8</f>
        <v>6.2243006416589335</v>
      </c>
    </row>
    <row r="9" spans="1:24" x14ac:dyDescent="0.3">
      <c r="A9">
        <v>2</v>
      </c>
      <c r="B9" t="str">
        <f>Material!D10</f>
        <v>Graphite-Epoxy</v>
      </c>
      <c r="C9" t="str">
        <v>CTD</v>
      </c>
      <c r="D9" t="str">
        <f>D4</f>
        <v>C</v>
      </c>
      <c r="E9">
        <f>IF($D$9="C",INDEX(Material!$H$10:$Q$12,MATCH('Qb&amp;Sb'!$C$9,Material!$H$10:$H$12,0),MATCH('Qb&amp;Sb'!E6,Material!$H$2:$Q$2,0)),INDEX(Material!$H$13:$Q$15,MATCH('Qb&amp;Sb'!$C$9,Material!$H$13:$H$15,0),MATCH('Qb&amp;Sb'!E6,Material!$H$2:$Q$2,0)))</f>
        <v>20.47</v>
      </c>
      <c r="F9">
        <f>IF($D$9="C",INDEX(Material!$H$10:$Q$12,MATCH('Qb&amp;Sb'!$C$9,Material!$H$10:$H$12,0),MATCH('Qb&amp;Sb'!F6,Material!$H$2:$Q$2,0)),INDEX(Material!$H$13:$Q$15,MATCH('Qb&amp;Sb'!$C$9,Material!$H$13:$H$15,0),MATCH('Qb&amp;Sb'!F6,Material!$H$2:$Q$2,0)))</f>
        <v>1.4</v>
      </c>
      <c r="G9">
        <f>IF($D$9="C",INDEX(Material!$H$10:$Q$12,MATCH('Qb&amp;Sb'!$C$9,Material!$H$10:$H$12,0),MATCH('Qb&amp;Sb'!G6,Material!$H$2:$Q$2,0)),INDEX(Material!$H$13:$Q$15,MATCH('Qb&amp;Sb'!$C$9,Material!$H$13:$H$15,0),MATCH('Qb&amp;Sb'!G6,Material!$H$2:$Q$2,0)))</f>
        <v>0.80200000000000005</v>
      </c>
      <c r="H9">
        <f>IF($D$9="C",INDEX(Material!$H$10:$Q$12,MATCH('Qb&amp;Sb'!$C$9,Material!$H$10:$H$12,0),MATCH('Qb&amp;Sb'!H6,Material!$H$2:$Q$2,0)),INDEX(Material!$H$13:$Q$15,MATCH('Qb&amp;Sb'!$C$9,Material!$H$13:$H$15,0),MATCH('Qb&amp;Sb'!H6,Material!$H$2:$Q$2,0)))</f>
        <v>0.3</v>
      </c>
      <c r="I9">
        <f>IF($D$9="C",INDEX(Material!$H$10:$Q$12,MATCH('Qb&amp;Sb'!$C$9,Material!$H$10:$H$12,0),MATCH('Qb&amp;Sb'!I6,Material!$H$2:$Q$2,0)),INDEX(Material!$H$13:$Q$15,MATCH('Qb&amp;Sb'!$C$9,Material!$H$13:$H$15,0),MATCH('Qb&amp;Sb'!I6,Material!$H$2:$Q$2,0)))</f>
        <v>1.0500000000000001E-2</v>
      </c>
      <c r="J9">
        <f>IF($D$9="C",INDEX(Material!$H$10:$Q$12,MATCH('Qb&amp;Sb'!$C$9,Material!$H$10:$H$12,0),MATCH('Qb&amp;Sb'!J6,Material!$H$2:$Q$2,0)),INDEX(Material!$H$13:$Q$15,MATCH('Qb&amp;Sb'!$C$9,Material!$H$13:$H$15,0),MATCH('Qb&amp;Sb'!J6,Material!$H$2:$Q$2,0)))</f>
        <v>0</v>
      </c>
      <c r="K9" s="15">
        <f>IF($D$9="C",INDEX(Material!$H$10:$Q$12,MATCH('Qb&amp;Sb'!$C$9,Material!$H$10:$H$12,0),MATCH('Qb&amp;Sb'!K6,Material!$H$2:$Q$2,0)),INDEX(Material!$H$13:$Q$15,MATCH('Qb&amp;Sb'!$C$9,Material!$H$13:$H$15,0),MATCH('Qb&amp;Sb'!K6,Material!$H$2:$Q$2,0)))</f>
        <v>0</v>
      </c>
      <c r="L9" s="15">
        <f>IF($D$9="C",INDEX(Material!$H$10:$Q$12,MATCH('Qb&amp;Sb'!$C$9,Material!$H$10:$H$12,0),MATCH('Qb&amp;Sb'!L6,Material!$H$2:$Q$2,0)),INDEX(Material!$H$13:$Q$15,MATCH('Qb&amp;Sb'!$C$9,Material!$H$13:$H$15,0),MATCH('Qb&amp;Sb'!L6,Material!$H$2:$Q$2,0)))</f>
        <v>5.5E-2</v>
      </c>
      <c r="M9" s="15">
        <f t="shared" ref="M9:M10" si="0">(F9/E9)*H9</f>
        <v>2.0517830972154372E-2</v>
      </c>
      <c r="N9">
        <f t="shared" ref="N9:N10" si="1">E9/(1-(H9*M9))</f>
        <v>20.596780377506882</v>
      </c>
      <c r="O9">
        <f t="shared" ref="O9:O10" si="2">F9/(1-(H9*M9))</f>
        <v>1.4086708611875736</v>
      </c>
      <c r="P9">
        <f t="shared" ref="P9:P10" si="3">N9*M9</f>
        <v>0.4226012583562721</v>
      </c>
      <c r="Q9">
        <v>0</v>
      </c>
      <c r="R9">
        <v>0</v>
      </c>
      <c r="S9">
        <f t="shared" ref="S9:S10" si="4">G9</f>
        <v>0.80200000000000005</v>
      </c>
      <c r="T9" s="27">
        <f t="shared" ref="T9:T10" si="5">2*(P9+2*S9)</f>
        <v>4.0532025167125445</v>
      </c>
      <c r="U9">
        <f t="shared" ref="U9:U10" si="6">N9+O9-4*S9</f>
        <v>18.797451238694457</v>
      </c>
      <c r="V9">
        <f t="shared" ref="V9:V10" si="7">N9-P9-2*S9</f>
        <v>18.570179119150609</v>
      </c>
      <c r="W9">
        <f t="shared" ref="W9:W10" si="8">P9-O9+2*S9</f>
        <v>0.61793039716869869</v>
      </c>
      <c r="X9" s="28">
        <f t="shared" ref="X9:X10" si="9">N9+O9-2*P9-2*S9</f>
        <v>19.556248721981913</v>
      </c>
    </row>
    <row r="10" spans="1:24" x14ac:dyDescent="0.3">
      <c r="A10">
        <v>3</v>
      </c>
      <c r="B10" t="str">
        <f>Material!D16</f>
        <v>Kevlar-Epoxy</v>
      </c>
      <c r="C10" t="str">
        <v>CTD</v>
      </c>
      <c r="D10" t="str">
        <f>D4</f>
        <v>C</v>
      </c>
      <c r="E10">
        <f>IF($D$10="C",INDEX(Material!$H$16:$Q$18,MATCH('Qb&amp;Sb'!$C$9,Material!$H$16:$H$18,0),MATCH('Qb&amp;Sb'!E6,Material!$H$2:$Q$2,0)),INDEX(Material!$H$19:$Q$21,MATCH('Qb&amp;Sb'!$C$9,Material!$H$19:$H$21,0),MATCH('Qb&amp;Sb'!E6,Material!$H$2:$Q$2,0)))</f>
        <v>11</v>
      </c>
      <c r="F10">
        <f>IF($D$10="C",INDEX(Material!$H$16:$Q$18,MATCH('Qb&amp;Sb'!$C$9,Material!$H$16:$H$18,0),MATCH('Qb&amp;Sb'!F6,Material!$H$2:$Q$2,0)),INDEX(Material!$H$19:$Q$21,MATCH('Qb&amp;Sb'!$C$9,Material!$H$19:$H$21,0),MATCH('Qb&amp;Sb'!F6,Material!$H$2:$Q$2,0)))</f>
        <v>0.8</v>
      </c>
      <c r="G10">
        <f>IF($D$10="C",INDEX(Material!$H$16:$Q$18,MATCH('Qb&amp;Sb'!$C$9,Material!$H$16:$H$18,0),MATCH('Qb&amp;Sb'!G6,Material!$H$2:$Q$2,0)),INDEX(Material!$H$19:$Q$21,MATCH('Qb&amp;Sb'!$C$9,Material!$H$19:$H$21,0),MATCH('Qb&amp;Sb'!G6,Material!$H$2:$Q$2,0)))</f>
        <v>0.3</v>
      </c>
      <c r="H10">
        <f>IF($D$10="C",INDEX(Material!$H$16:$Q$18,MATCH('Qb&amp;Sb'!$C$9,Material!$H$16:$H$18,0),MATCH('Qb&amp;Sb'!H6,Material!$H$2:$Q$2,0)),INDEX(Material!$H$19:$Q$21,MATCH('Qb&amp;Sb'!$C$9,Material!$H$19:$H$21,0),MATCH('Qb&amp;Sb'!H6,Material!$H$2:$Q$2,0)))</f>
        <v>0.34</v>
      </c>
      <c r="I10">
        <f>IF($D$10="C",INDEX(Material!$H$16:$Q$18,MATCH('Qb&amp;Sb'!$C$9,Material!$H$16:$H$18,0),MATCH('Qb&amp;Sb'!I6,Material!$H$2:$Q$2,0)),INDEX(Material!$H$19:$Q$21,MATCH('Qb&amp;Sb'!$C$9,Material!$H$19:$H$21,0),MATCH('Qb&amp;Sb'!I6,Material!$H$2:$Q$2,0)))</f>
        <v>1.0999999999999999E-2</v>
      </c>
      <c r="J10">
        <f>IF($D$10="C",INDEX(Material!$H$16:$Q$18,MATCH('Qb&amp;Sb'!$C$9,Material!$H$16:$H$18,0),MATCH('Qb&amp;Sb'!J6,Material!$H$2:$Q$2,0)),INDEX(Material!$H$19:$Q$21,MATCH('Qb&amp;Sb'!$C$9,Material!$H$19:$H$21,0),MATCH('Qb&amp;Sb'!J6,Material!$H$2:$Q$2,0)))</f>
        <v>0</v>
      </c>
      <c r="K10" s="15">
        <f>IF($D$10="C",INDEX(Material!$H$16:$Q$18,MATCH('Qb&amp;Sb'!$C$9,Material!$H$16:$H$18,0),MATCH('Qb&amp;Sb'!K6,Material!$H$2:$Q$2,0)),INDEX(Material!$H$19:$Q$21,MATCH('Qb&amp;Sb'!$C$9,Material!$H$19:$H$21,0),MATCH('Qb&amp;Sb'!K6,Material!$H$2:$Q$2,0)))</f>
        <v>0</v>
      </c>
      <c r="L10" s="15">
        <f>IF($D$10="C",INDEX(Material!$H$16:$Q$18,MATCH('Qb&amp;Sb'!$C$9,Material!$H$16:$H$18,0),MATCH('Qb&amp;Sb'!L6,Material!$H$2:$Q$2,0)),INDEX(Material!$H$19:$Q$21,MATCH('Qb&amp;Sb'!$C$9,Material!$H$19:$H$21,0),MATCH('Qb&amp;Sb'!L6,Material!$H$2:$Q$2,0)))</f>
        <v>4.9000000000000002E-2</v>
      </c>
      <c r="M10" s="15">
        <f t="shared" si="0"/>
        <v>2.4727272727272733E-2</v>
      </c>
      <c r="N10">
        <f t="shared" si="1"/>
        <v>11.093264096696592</v>
      </c>
      <c r="O10">
        <f t="shared" si="2"/>
        <v>0.80678284339611572</v>
      </c>
      <c r="P10">
        <f t="shared" si="3"/>
        <v>0.27430616675467945</v>
      </c>
      <c r="Q10">
        <v>0</v>
      </c>
      <c r="R10">
        <v>0</v>
      </c>
      <c r="S10">
        <f t="shared" si="4"/>
        <v>0.3</v>
      </c>
      <c r="T10" s="29">
        <f t="shared" si="5"/>
        <v>1.7486123335093589</v>
      </c>
      <c r="U10" s="30">
        <f t="shared" si="6"/>
        <v>10.700046940092708</v>
      </c>
      <c r="V10" s="30">
        <f t="shared" si="7"/>
        <v>10.218957929941913</v>
      </c>
      <c r="W10" s="30">
        <f t="shared" si="8"/>
        <v>6.7523323358563703E-2</v>
      </c>
      <c r="X10" s="31">
        <f t="shared" si="9"/>
        <v>10.751434606583349</v>
      </c>
    </row>
    <row r="12" spans="1:24" x14ac:dyDescent="0.3">
      <c r="A12" s="13" t="s">
        <v>42</v>
      </c>
      <c r="B12" s="14" t="s">
        <v>23</v>
      </c>
      <c r="C12" s="14" t="s">
        <v>25</v>
      </c>
      <c r="D12" s="14"/>
      <c r="E12" s="68"/>
      <c r="F12" s="69"/>
      <c r="G12" s="69"/>
      <c r="H12" s="70"/>
    </row>
    <row r="13" spans="1:24" x14ac:dyDescent="0.3">
      <c r="A13" s="13"/>
      <c r="B13" s="14" t="s">
        <v>22</v>
      </c>
      <c r="C13" s="14" t="s">
        <v>26</v>
      </c>
      <c r="D13" s="14"/>
      <c r="E13" s="69"/>
      <c r="F13" s="69"/>
      <c r="G13" s="69"/>
      <c r="H13" s="70"/>
    </row>
    <row r="14" spans="1:24" x14ac:dyDescent="0.3">
      <c r="A14" s="13"/>
      <c r="B14" s="14" t="s">
        <v>20</v>
      </c>
      <c r="C14" s="14" t="s">
        <v>27</v>
      </c>
      <c r="D14" s="14"/>
      <c r="E14" s="69"/>
      <c r="F14" s="116" t="s">
        <v>109</v>
      </c>
      <c r="G14" s="69"/>
      <c r="H14" s="70"/>
    </row>
    <row r="16" spans="1:24" x14ac:dyDescent="0.3">
      <c r="A16" s="110"/>
      <c r="B16" s="110"/>
      <c r="D16" s="36"/>
      <c r="E16" s="36"/>
      <c r="K16" s="18"/>
      <c r="L16" s="20"/>
      <c r="M16" s="18"/>
    </row>
    <row r="17" spans="1:19" x14ac:dyDescent="0.3">
      <c r="I17" s="114" t="s">
        <v>107</v>
      </c>
      <c r="K17" s="34"/>
      <c r="L17" s="20"/>
      <c r="M17" s="18"/>
      <c r="O17" s="35"/>
      <c r="S17" s="35"/>
    </row>
    <row r="18" spans="1:19" ht="21" x14ac:dyDescent="0.4">
      <c r="A18" s="108" t="s">
        <v>32</v>
      </c>
      <c r="B18" s="108"/>
      <c r="C18" s="108"/>
      <c r="D18" s="108"/>
      <c r="E18" s="108"/>
      <c r="F18" s="8">
        <v>4</v>
      </c>
      <c r="I18">
        <v>1</v>
      </c>
      <c r="K18" s="33"/>
      <c r="L18" s="33"/>
      <c r="M18" s="33"/>
    </row>
    <row r="19" spans="1:19" x14ac:dyDescent="0.3">
      <c r="A19" s="106" t="s">
        <v>50</v>
      </c>
      <c r="B19" s="106"/>
      <c r="C19" s="36" t="s">
        <v>33</v>
      </c>
      <c r="D19" s="38" t="s">
        <v>51</v>
      </c>
      <c r="E19" s="38" t="s">
        <v>76</v>
      </c>
      <c r="F19" s="38"/>
      <c r="K19" s="33"/>
      <c r="L19" s="33"/>
      <c r="M19" s="33"/>
    </row>
    <row r="20" spans="1:19" x14ac:dyDescent="0.3">
      <c r="A20" s="12" t="s">
        <v>49</v>
      </c>
      <c r="B20" s="115"/>
      <c r="E20" s="37"/>
      <c r="F20" s="37"/>
      <c r="I20">
        <v>2</v>
      </c>
    </row>
    <row r="21" spans="1:19" x14ac:dyDescent="0.3">
      <c r="B21" s="115"/>
      <c r="E21" s="37"/>
      <c r="F21" s="37"/>
    </row>
    <row r="22" spans="1:19" x14ac:dyDescent="0.3">
      <c r="B22" s="115"/>
      <c r="E22" s="37"/>
      <c r="F22" s="37"/>
      <c r="I22">
        <v>3</v>
      </c>
      <c r="K22" s="18"/>
      <c r="L22" s="20"/>
      <c r="M22" s="18"/>
    </row>
    <row r="23" spans="1:19" x14ac:dyDescent="0.3">
      <c r="A23" t="s">
        <v>108</v>
      </c>
      <c r="B23" s="115"/>
      <c r="E23" s="37"/>
      <c r="F23" s="37"/>
      <c r="K23" s="34"/>
      <c r="O23" s="35"/>
      <c r="S23" s="35"/>
    </row>
    <row r="24" spans="1:19" x14ac:dyDescent="0.3">
      <c r="B24" s="48"/>
      <c r="E24" s="37"/>
      <c r="F24" s="37"/>
      <c r="O24" s="15"/>
      <c r="P24" s="15"/>
      <c r="Q24" s="15"/>
    </row>
    <row r="25" spans="1:19" x14ac:dyDescent="0.3">
      <c r="B25" s="48"/>
      <c r="C25" s="36"/>
      <c r="E25" s="37"/>
      <c r="F25" s="37"/>
      <c r="I25">
        <v>4</v>
      </c>
    </row>
    <row r="26" spans="1:19" x14ac:dyDescent="0.3">
      <c r="B26" s="48"/>
      <c r="E26" s="37"/>
    </row>
    <row r="27" spans="1:19" x14ac:dyDescent="0.3">
      <c r="B27" s="48"/>
      <c r="E27" s="37"/>
    </row>
    <row r="28" spans="1:19" x14ac:dyDescent="0.3">
      <c r="B28" s="48"/>
      <c r="C28" s="36"/>
      <c r="E28" s="37"/>
      <c r="K28" s="18"/>
      <c r="L28" s="20"/>
      <c r="M28" s="18"/>
    </row>
    <row r="29" spans="1:19" x14ac:dyDescent="0.3">
      <c r="B29" s="48"/>
      <c r="C29" s="36"/>
      <c r="K29" s="34"/>
      <c r="O29" s="35"/>
      <c r="S29" s="35"/>
    </row>
    <row r="30" spans="1:19" x14ac:dyDescent="0.3">
      <c r="B30" s="48"/>
      <c r="C30" s="36"/>
    </row>
    <row r="31" spans="1:19" x14ac:dyDescent="0.3">
      <c r="B31" s="48"/>
      <c r="C31" s="36"/>
      <c r="O31" s="32"/>
    </row>
    <row r="32" spans="1:19" x14ac:dyDescent="0.3">
      <c r="B32" s="48"/>
      <c r="C32" s="36"/>
    </row>
    <row r="33" spans="2:19" x14ac:dyDescent="0.3">
      <c r="B33" s="48"/>
      <c r="C33" s="36"/>
    </row>
    <row r="34" spans="2:19" x14ac:dyDescent="0.3">
      <c r="B34" s="48"/>
      <c r="K34" s="18"/>
      <c r="L34" s="20"/>
      <c r="M34" s="18"/>
    </row>
    <row r="35" spans="2:19" x14ac:dyDescent="0.3">
      <c r="B35" s="48"/>
      <c r="K35" s="34"/>
      <c r="O35" s="35"/>
      <c r="S35" s="35"/>
    </row>
    <row r="36" spans="2:19" x14ac:dyDescent="0.3">
      <c r="B36" s="48"/>
    </row>
    <row r="37" spans="2:19" x14ac:dyDescent="0.3">
      <c r="B37" s="48"/>
    </row>
    <row r="38" spans="2:19" x14ac:dyDescent="0.3">
      <c r="B38" s="48"/>
    </row>
    <row r="39" spans="2:19" x14ac:dyDescent="0.3">
      <c r="B39" s="48"/>
    </row>
    <row r="40" spans="2:19" x14ac:dyDescent="0.3">
      <c r="B40" s="48"/>
      <c r="K40" s="18"/>
      <c r="L40" s="20"/>
      <c r="M40" s="18"/>
    </row>
    <row r="41" spans="2:19" x14ac:dyDescent="0.3">
      <c r="B41" s="48"/>
      <c r="K41" s="34"/>
      <c r="O41" s="35"/>
      <c r="S41" s="35"/>
    </row>
    <row r="42" spans="2:19" x14ac:dyDescent="0.3">
      <c r="B42" s="48"/>
    </row>
    <row r="43" spans="2:19" x14ac:dyDescent="0.3">
      <c r="B43" s="48"/>
    </row>
    <row r="44" spans="2:19" x14ac:dyDescent="0.3">
      <c r="B44" s="48"/>
    </row>
    <row r="45" spans="2:19" x14ac:dyDescent="0.3">
      <c r="B45" s="48"/>
    </row>
    <row r="46" spans="2:19" x14ac:dyDescent="0.3">
      <c r="B46" s="48"/>
      <c r="K46" s="18"/>
      <c r="L46" s="20"/>
      <c r="M46" s="18"/>
    </row>
    <row r="47" spans="2:19" x14ac:dyDescent="0.3">
      <c r="B47" s="48"/>
      <c r="K47" s="34"/>
      <c r="O47" s="35"/>
      <c r="S47" s="35"/>
    </row>
    <row r="48" spans="2:19" x14ac:dyDescent="0.3">
      <c r="B48" s="48"/>
    </row>
    <row r="49" spans="2:19" x14ac:dyDescent="0.3">
      <c r="B49" s="48"/>
    </row>
    <row r="50" spans="2:19" x14ac:dyDescent="0.3">
      <c r="B50" s="48"/>
    </row>
    <row r="51" spans="2:19" x14ac:dyDescent="0.3">
      <c r="B51" s="48"/>
    </row>
    <row r="52" spans="2:19" x14ac:dyDescent="0.3">
      <c r="B52" s="48"/>
      <c r="K52" s="18"/>
      <c r="L52" s="20"/>
      <c r="M52" s="18"/>
    </row>
    <row r="53" spans="2:19" x14ac:dyDescent="0.3">
      <c r="B53" s="48"/>
      <c r="K53" s="34"/>
      <c r="O53" s="35"/>
      <c r="S53" s="35"/>
    </row>
    <row r="54" spans="2:19" x14ac:dyDescent="0.3">
      <c r="B54" s="48"/>
    </row>
    <row r="55" spans="2:19" x14ac:dyDescent="0.3">
      <c r="B55" s="48"/>
    </row>
    <row r="56" spans="2:19" x14ac:dyDescent="0.3">
      <c r="B56" s="48"/>
    </row>
    <row r="57" spans="2:19" x14ac:dyDescent="0.3">
      <c r="B57" s="48"/>
    </row>
    <row r="58" spans="2:19" x14ac:dyDescent="0.3">
      <c r="B58" s="48"/>
      <c r="K58" s="18"/>
      <c r="L58" s="20"/>
      <c r="M58" s="18"/>
    </row>
    <row r="59" spans="2:19" x14ac:dyDescent="0.3">
      <c r="B59" s="48"/>
      <c r="K59" s="34"/>
      <c r="O59" s="35"/>
      <c r="S59" s="35"/>
    </row>
    <row r="60" spans="2:19" x14ac:dyDescent="0.3">
      <c r="B60" s="48"/>
    </row>
    <row r="61" spans="2:19" x14ac:dyDescent="0.3">
      <c r="B61" s="48"/>
    </row>
    <row r="62" spans="2:19" x14ac:dyDescent="0.3">
      <c r="B62" s="48"/>
    </row>
    <row r="63" spans="2:19" x14ac:dyDescent="0.3">
      <c r="B63" s="48"/>
    </row>
    <row r="64" spans="2:19" x14ac:dyDescent="0.3">
      <c r="B64" s="48"/>
      <c r="K64" s="18"/>
      <c r="L64" s="20"/>
      <c r="M64" s="18"/>
    </row>
    <row r="65" spans="2:19" x14ac:dyDescent="0.3">
      <c r="B65" s="48"/>
      <c r="K65" s="34"/>
      <c r="O65" s="35"/>
      <c r="S65" s="35"/>
    </row>
    <row r="66" spans="2:19" x14ac:dyDescent="0.3">
      <c r="B66" s="48"/>
    </row>
    <row r="67" spans="2:19" x14ac:dyDescent="0.3">
      <c r="B67" s="48"/>
    </row>
    <row r="68" spans="2:19" x14ac:dyDescent="0.3">
      <c r="B68" s="48"/>
    </row>
    <row r="69" spans="2:19" x14ac:dyDescent="0.3">
      <c r="B69" s="48"/>
    </row>
    <row r="70" spans="2:19" x14ac:dyDescent="0.3">
      <c r="B70" s="48"/>
      <c r="K70" s="18"/>
      <c r="L70" s="20"/>
      <c r="M70" s="18"/>
    </row>
    <row r="71" spans="2:19" x14ac:dyDescent="0.3">
      <c r="B71" s="48"/>
      <c r="K71" s="34"/>
      <c r="O71" s="35"/>
      <c r="S71" s="35"/>
    </row>
    <row r="72" spans="2:19" x14ac:dyDescent="0.3">
      <c r="B72" s="48"/>
    </row>
    <row r="73" spans="2:19" x14ac:dyDescent="0.3">
      <c r="B73" s="48"/>
    </row>
    <row r="74" spans="2:19" x14ac:dyDescent="0.3">
      <c r="B74" s="48"/>
    </row>
    <row r="75" spans="2:19" x14ac:dyDescent="0.3">
      <c r="B75" s="48"/>
    </row>
    <row r="76" spans="2:19" x14ac:dyDescent="0.3">
      <c r="B76" s="48"/>
      <c r="K76" s="18"/>
      <c r="L76" s="20"/>
      <c r="M76" s="18"/>
    </row>
    <row r="77" spans="2:19" x14ac:dyDescent="0.3">
      <c r="B77" s="48"/>
      <c r="K77" s="34"/>
      <c r="O77" s="35"/>
      <c r="S77" s="35"/>
    </row>
    <row r="78" spans="2:19" x14ac:dyDescent="0.3">
      <c r="B78" s="48"/>
    </row>
    <row r="79" spans="2:19" x14ac:dyDescent="0.3">
      <c r="B79" s="48"/>
    </row>
    <row r="80" spans="2:19" x14ac:dyDescent="0.3">
      <c r="B80" s="48"/>
    </row>
    <row r="81" spans="2:19" x14ac:dyDescent="0.3">
      <c r="B81" s="48"/>
    </row>
    <row r="82" spans="2:19" x14ac:dyDescent="0.3">
      <c r="B82" s="48"/>
      <c r="K82" s="18"/>
      <c r="L82" s="20"/>
      <c r="M82" s="18"/>
    </row>
    <row r="83" spans="2:19" x14ac:dyDescent="0.3">
      <c r="B83" s="48"/>
      <c r="K83" s="34"/>
      <c r="O83" s="35"/>
      <c r="S83" s="35"/>
    </row>
    <row r="84" spans="2:19" x14ac:dyDescent="0.3">
      <c r="B84" s="48"/>
    </row>
    <row r="85" spans="2:19" x14ac:dyDescent="0.3">
      <c r="B85" s="48"/>
    </row>
    <row r="86" spans="2:19" x14ac:dyDescent="0.3">
      <c r="B86" s="48"/>
    </row>
    <row r="87" spans="2:19" x14ac:dyDescent="0.3">
      <c r="B87" s="48"/>
    </row>
    <row r="88" spans="2:19" x14ac:dyDescent="0.3">
      <c r="B88" s="48"/>
    </row>
    <row r="89" spans="2:19" x14ac:dyDescent="0.3">
      <c r="B89" s="48"/>
    </row>
    <row r="90" spans="2:19" x14ac:dyDescent="0.3">
      <c r="B90" s="48"/>
    </row>
    <row r="91" spans="2:19" x14ac:dyDescent="0.3">
      <c r="B91" s="48"/>
    </row>
    <row r="92" spans="2:19" x14ac:dyDescent="0.3">
      <c r="B92" s="48"/>
    </row>
    <row r="93" spans="2:19" x14ac:dyDescent="0.3">
      <c r="B93" s="48"/>
    </row>
    <row r="94" spans="2:19" x14ac:dyDescent="0.3">
      <c r="B94" s="48"/>
    </row>
    <row r="95" spans="2:19" x14ac:dyDescent="0.3">
      <c r="B95" s="48"/>
    </row>
    <row r="96" spans="2:19" x14ac:dyDescent="0.3">
      <c r="B96" s="48"/>
    </row>
    <row r="97" spans="2:2" x14ac:dyDescent="0.3">
      <c r="B97" s="48"/>
    </row>
    <row r="98" spans="2:2" x14ac:dyDescent="0.3">
      <c r="B98" s="48"/>
    </row>
    <row r="99" spans="2:2" x14ac:dyDescent="0.3">
      <c r="B99" s="48"/>
    </row>
    <row r="100" spans="2:2" x14ac:dyDescent="0.3">
      <c r="B100" s="48"/>
    </row>
  </sheetData>
  <mergeCells count="6">
    <mergeCell ref="A19:B19"/>
    <mergeCell ref="A2:B2"/>
    <mergeCell ref="A18:E18"/>
    <mergeCell ref="C5:G5"/>
    <mergeCell ref="C3:G3"/>
    <mergeCell ref="A16:B16"/>
  </mergeCells>
  <dataValidations count="2">
    <dataValidation type="list" allowBlank="1" showInputMessage="1" showErrorMessage="1" sqref="D4" xr:uid="{206EB923-EFCA-4A3B-9EFA-458C9E2BC263}">
      <formula1>"T,C"</formula1>
    </dataValidation>
    <dataValidation type="list" allowBlank="1" showInputMessage="1" showErrorMessage="1" sqref="C20 C21 C22 C23" xr:uid="{ECF973D1-EDEA-47E5-8803-901DDD5C3F6F}">
      <formula1>"UD-Tape,Fabric-8HS,Fabric-PW"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Sheet2.Formlayup">
                <anchor moveWithCells="1" sizeWithCells="1">
                  <from>
                    <xdr:col>6</xdr:col>
                    <xdr:colOff>129540</xdr:colOff>
                    <xdr:row>17</xdr:row>
                    <xdr:rowOff>7620</xdr:rowOff>
                  </from>
                  <to>
                    <xdr:col>8</xdr:col>
                    <xdr:colOff>137160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ClearLayup">
                <anchor moveWithCells="1" sizeWithCells="1">
                  <from>
                    <xdr:col>6</xdr:col>
                    <xdr:colOff>144780</xdr:colOff>
                    <xdr:row>19</xdr:row>
                    <xdr:rowOff>0</xdr:rowOff>
                  </from>
                  <to>
                    <xdr:col>8</xdr:col>
                    <xdr:colOff>129540</xdr:colOff>
                    <xdr:row>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QB">
                <anchor moveWithCells="1" sizeWithCells="1">
                  <from>
                    <xdr:col>6</xdr:col>
                    <xdr:colOff>190500</xdr:colOff>
                    <xdr:row>21</xdr:row>
                    <xdr:rowOff>45720</xdr:rowOff>
                  </from>
                  <to>
                    <xdr:col>8</xdr:col>
                    <xdr:colOff>137160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Sheet2.ABD">
                <anchor moveWithCells="1" sizeWithCells="1">
                  <from>
                    <xdr:col>6</xdr:col>
                    <xdr:colOff>213360</xdr:colOff>
                    <xdr:row>24</xdr:row>
                    <xdr:rowOff>15240</xdr:rowOff>
                  </from>
                  <to>
                    <xdr:col>8</xdr:col>
                    <xdr:colOff>121920</xdr:colOff>
                    <xdr:row>26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E05656-B6C7-40C7-8D82-BEEC8EAB787A}">
          <x14:formula1>
            <xm:f>Material!$H$4:$H$6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78FB-A7A7-47E5-B813-FA2F6701918B}">
  <sheetPr codeName="Sheet3"/>
  <dimension ref="A5:N33"/>
  <sheetViews>
    <sheetView workbookViewId="0">
      <selection activeCell="H6" sqref="H6"/>
    </sheetView>
  </sheetViews>
  <sheetFormatPr defaultRowHeight="14.4" x14ac:dyDescent="0.3"/>
  <cols>
    <col min="2" max="2" width="10.5546875" bestFit="1" customWidth="1"/>
    <col min="3" max="3" width="12.6640625" bestFit="1" customWidth="1"/>
    <col min="4" max="6" width="12.21875" bestFit="1" customWidth="1"/>
    <col min="8" max="10" width="12.21875" bestFit="1" customWidth="1"/>
  </cols>
  <sheetData>
    <row r="5" spans="1:13" x14ac:dyDescent="0.3">
      <c r="I5" t="s">
        <v>105</v>
      </c>
      <c r="M5" s="5"/>
    </row>
    <row r="6" spans="1:13" x14ac:dyDescent="0.3">
      <c r="B6" s="109" t="s">
        <v>81</v>
      </c>
      <c r="C6" s="109"/>
      <c r="D6" s="109"/>
      <c r="E6" s="109"/>
      <c r="F6" s="109"/>
      <c r="H6" s="5"/>
      <c r="I6" s="113" t="s">
        <v>106</v>
      </c>
    </row>
    <row r="7" spans="1:13" ht="25.8" x14ac:dyDescent="0.5">
      <c r="A7" s="112" t="s">
        <v>75</v>
      </c>
      <c r="B7" s="112"/>
      <c r="C7" s="112"/>
      <c r="D7" s="112"/>
    </row>
    <row r="8" spans="1:13" x14ac:dyDescent="0.3">
      <c r="H8" s="39"/>
    </row>
    <row r="9" spans="1:13" x14ac:dyDescent="0.3">
      <c r="E9" s="49" t="s">
        <v>53</v>
      </c>
      <c r="F9" t="s">
        <v>77</v>
      </c>
      <c r="I9" s="49" t="s">
        <v>54</v>
      </c>
      <c r="J9" t="s">
        <v>78</v>
      </c>
    </row>
    <row r="10" spans="1:13" x14ac:dyDescent="0.3">
      <c r="D10" s="44">
        <v>370801.12497747928</v>
      </c>
      <c r="E10" s="44">
        <v>92508.146571270438</v>
      </c>
      <c r="F10" s="44">
        <v>-10022.644944492613</v>
      </c>
      <c r="G10" s="44"/>
      <c r="H10" s="44">
        <v>799.98765233684276</v>
      </c>
      <c r="I10" s="44">
        <v>420.47156746027815</v>
      </c>
      <c r="J10" s="44">
        <v>28.270292290436551</v>
      </c>
    </row>
    <row r="11" spans="1:13" x14ac:dyDescent="0.3">
      <c r="B11" s="50" t="s">
        <v>82</v>
      </c>
      <c r="D11" s="44">
        <v>92508.146571270438</v>
      </c>
      <c r="E11" s="44">
        <v>264756.88016831299</v>
      </c>
      <c r="F11" s="44">
        <v>12581.462638434681</v>
      </c>
      <c r="G11" s="44"/>
      <c r="H11" s="44">
        <v>420.47156746027815</v>
      </c>
      <c r="I11" s="44">
        <v>-1216.8332018058147</v>
      </c>
      <c r="J11" s="44">
        <v>-32.760798183473469</v>
      </c>
    </row>
    <row r="12" spans="1:13" x14ac:dyDescent="0.3">
      <c r="B12" s="46" t="s">
        <v>80</v>
      </c>
      <c r="D12" s="44">
        <v>-10022.644944492613</v>
      </c>
      <c r="E12" s="44">
        <v>12581.462638434681</v>
      </c>
      <c r="F12" s="44">
        <v>99430.797118169328</v>
      </c>
      <c r="G12" s="44"/>
      <c r="H12" s="44">
        <v>28.270292290436551</v>
      </c>
      <c r="I12" s="44">
        <v>-32.760798183473469</v>
      </c>
      <c r="J12" s="44">
        <v>415.02880728934684</v>
      </c>
    </row>
    <row r="13" spans="1:13" x14ac:dyDescent="0.3">
      <c r="D13" s="44"/>
      <c r="E13" s="44"/>
      <c r="F13" s="44"/>
      <c r="G13" s="44"/>
      <c r="H13" s="44"/>
      <c r="I13" s="44"/>
      <c r="J13" s="44"/>
    </row>
    <row r="14" spans="1:13" x14ac:dyDescent="0.3">
      <c r="D14" s="44">
        <v>799.98765233684276</v>
      </c>
      <c r="E14" s="44">
        <v>420.47156746027815</v>
      </c>
      <c r="F14" s="44">
        <v>28.270292290436551</v>
      </c>
      <c r="G14" s="44"/>
      <c r="H14" s="44">
        <v>74.000310514248469</v>
      </c>
      <c r="I14" s="44">
        <v>7.5999842606413655</v>
      </c>
      <c r="J14" s="44">
        <v>-0.11432276844988699</v>
      </c>
    </row>
    <row r="15" spans="1:13" x14ac:dyDescent="0.3">
      <c r="D15" s="44">
        <v>420.47156746027815</v>
      </c>
      <c r="E15" s="44">
        <v>-1216.8332018058147</v>
      </c>
      <c r="F15" s="44">
        <v>-32.760798183473469</v>
      </c>
      <c r="G15" s="44"/>
      <c r="H15" s="44">
        <v>7.5999842606413655</v>
      </c>
      <c r="I15" s="44">
        <v>37.094273895542443</v>
      </c>
      <c r="J15" s="44">
        <v>0.16214430404568927</v>
      </c>
    </row>
    <row r="16" spans="1:13" x14ac:dyDescent="0.3">
      <c r="D16" s="44">
        <v>28.270292290436551</v>
      </c>
      <c r="E16" s="44">
        <v>-32.760798183473469</v>
      </c>
      <c r="F16" s="44">
        <v>415.02880728934684</v>
      </c>
      <c r="G16" s="44"/>
      <c r="H16" s="44">
        <v>-0.11432276844988699</v>
      </c>
      <c r="I16" s="44">
        <v>0.16214430404568927</v>
      </c>
      <c r="J16" s="45">
        <v>8.4977171577269051</v>
      </c>
    </row>
    <row r="17" spans="2:14" ht="16.2" x14ac:dyDescent="0.3">
      <c r="E17" s="49" t="s">
        <v>54</v>
      </c>
      <c r="F17" t="s">
        <v>78</v>
      </c>
      <c r="I17" s="49" t="s">
        <v>55</v>
      </c>
      <c r="J17" t="s">
        <v>79</v>
      </c>
    </row>
    <row r="18" spans="2:14" x14ac:dyDescent="0.3">
      <c r="N18" s="36"/>
    </row>
    <row r="19" spans="2:14" x14ac:dyDescent="0.3">
      <c r="N19" s="36"/>
    </row>
    <row r="20" spans="2:14" x14ac:dyDescent="0.3">
      <c r="B20" s="111" t="s">
        <v>56</v>
      </c>
      <c r="C20" s="111"/>
      <c r="D20" s="111"/>
      <c r="F20" s="7" t="s">
        <v>68</v>
      </c>
      <c r="G20" s="7" t="s">
        <v>69</v>
      </c>
      <c r="N20" s="36"/>
    </row>
    <row r="21" spans="2:14" x14ac:dyDescent="0.3">
      <c r="B21" s="7" t="s">
        <v>52</v>
      </c>
      <c r="C21">
        <v>4.2099999999999999E-2</v>
      </c>
      <c r="E21" s="40" t="s">
        <v>70</v>
      </c>
      <c r="F21" s="40">
        <f>SQRT((2/E11)*((SQRT(D10*E11)-E10)+((D10*E11-E10^2)/(2*F12))))+1</f>
        <v>3.2521600226403891</v>
      </c>
      <c r="G21" s="42" t="s">
        <v>74</v>
      </c>
      <c r="N21" s="36"/>
    </row>
    <row r="22" spans="2:14" x14ac:dyDescent="0.3">
      <c r="B22" s="7" t="s">
        <v>57</v>
      </c>
      <c r="C22">
        <f>((F10*F11)-(E10*F12))/((D10*F12)-(F10^2))</f>
        <v>-0.25359297849938073</v>
      </c>
      <c r="E22" s="40" t="s">
        <v>71</v>
      </c>
      <c r="F22" s="40">
        <f>SQRT((2/D10)*((SQRT(D10*E11)-E10)+((D10*E11-E10^2)/(2*F12))))+1</f>
        <v>2.903059430525806</v>
      </c>
      <c r="G22" s="42" t="s">
        <v>74</v>
      </c>
      <c r="N22" s="36"/>
    </row>
    <row r="23" spans="2:14" x14ac:dyDescent="0.3">
      <c r="B23" s="7" t="s">
        <v>58</v>
      </c>
      <c r="C23">
        <f>(-F11/F12)+(((F10*E10*F12)-((F10^2)*F11))/((D10*(F12^2))-((F10^2)*F12)))</f>
        <v>-0.15209709125007931</v>
      </c>
      <c r="E23" s="40" t="s">
        <v>72</v>
      </c>
      <c r="F23" s="42" t="s">
        <v>74</v>
      </c>
      <c r="G23" s="40">
        <f>SQRT(2*(SQRT(C29/C30))-(2*C32)+(C29/C31))+1</f>
        <v>3.2545208618415655</v>
      </c>
    </row>
    <row r="24" spans="2:14" x14ac:dyDescent="0.3">
      <c r="B24" s="7" t="s">
        <v>59</v>
      </c>
      <c r="C24">
        <f>((E10*F11)-(F10*E11))/((D10*E11)-(E10^2))</f>
        <v>4.2598648703909781E-2</v>
      </c>
      <c r="E24" s="43" t="s">
        <v>73</v>
      </c>
      <c r="F24" s="42" t="s">
        <v>74</v>
      </c>
      <c r="G24" s="40">
        <f>SQRT(2*(SQRT(C30/C29))-(2*C33)+(C30/C31))+1</f>
        <v>2.9019108434419083</v>
      </c>
    </row>
    <row r="25" spans="2:14" x14ac:dyDescent="0.3">
      <c r="B25" s="7" t="s">
        <v>67</v>
      </c>
      <c r="C25">
        <f>-(F10/F12)+(((E10*F11*F12)-(F10*(F11^2)))/((E11*(F12^2))-((F11^2)*F12)))</f>
        <v>0.14588973038917769</v>
      </c>
    </row>
    <row r="26" spans="2:14" x14ac:dyDescent="0.3">
      <c r="B26" s="7" t="s">
        <v>60</v>
      </c>
      <c r="C26">
        <f>(-F11/E11)+(((F10*E10*E11)-((E10^2)*F11))/((D10*(E11^2))-((E10^2)*E11)))</f>
        <v>-6.2405119239849163E-2</v>
      </c>
    </row>
    <row r="27" spans="2:14" x14ac:dyDescent="0.3">
      <c r="B27" s="7" t="s">
        <v>61</v>
      </c>
      <c r="C27">
        <f>-(E10-((F10*F11)/F12))/(E11-((F11^2)/F12))</f>
        <v>-0.35634070284978592</v>
      </c>
    </row>
    <row r="28" spans="2:14" x14ac:dyDescent="0.3">
      <c r="B28" s="7" t="s">
        <v>57</v>
      </c>
      <c r="C28">
        <f>-(((F10*F11)/F12)-E10)/(((F10^2)/F12)-D10)</f>
        <v>-0.25359297849938067</v>
      </c>
    </row>
    <row r="29" spans="2:14" x14ac:dyDescent="0.3">
      <c r="B29" s="41" t="s">
        <v>62</v>
      </c>
      <c r="C29" s="47">
        <f>(((D10+(E10*C27)+(F10*C25))/ABD!C21))/1000000</f>
        <v>7.989893255111717</v>
      </c>
      <c r="D29" s="9" t="s">
        <v>16</v>
      </c>
    </row>
    <row r="30" spans="2:14" x14ac:dyDescent="0.3">
      <c r="B30" s="41" t="s">
        <v>63</v>
      </c>
      <c r="C30" s="47">
        <f>((((E10*C22)+E11+(F11*C23))/C21))/1000000</f>
        <v>5.6860774316596148</v>
      </c>
      <c r="D30" s="9" t="s">
        <v>16</v>
      </c>
    </row>
    <row r="31" spans="2:14" x14ac:dyDescent="0.3">
      <c r="B31" s="41" t="s">
        <v>64</v>
      </c>
      <c r="C31" s="47">
        <f>((((F10*C24)+(F11*C26)+F12)/C21))/1000000</f>
        <v>2.3329857080981391</v>
      </c>
      <c r="D31" s="9" t="s">
        <v>16</v>
      </c>
    </row>
    <row r="32" spans="2:14" x14ac:dyDescent="0.3">
      <c r="B32" s="41" t="s">
        <v>65</v>
      </c>
      <c r="C32" s="47">
        <f>-C27</f>
        <v>0.35634070284978592</v>
      </c>
    </row>
    <row r="33" spans="2:3" x14ac:dyDescent="0.3">
      <c r="B33" s="41" t="s">
        <v>66</v>
      </c>
      <c r="C33" s="47">
        <f>-C28</f>
        <v>0.25359297849938067</v>
      </c>
    </row>
  </sheetData>
  <mergeCells count="3">
    <mergeCell ref="B20:D20"/>
    <mergeCell ref="A7:D7"/>
    <mergeCell ref="B6:F6"/>
  </mergeCells>
  <hyperlinks>
    <hyperlink ref="I6" r:id="rId1" xr:uid="{DFCDF6BC-FD56-4634-A599-210A6E99E6D4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Material</vt:lpstr>
      <vt:lpstr>Qb&amp;Sb</vt:lpstr>
      <vt:lpstr>ABD</vt:lpstr>
      <vt:lpstr>xxx1000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abbas</dc:creator>
  <cp:lastModifiedBy>abbas</cp:lastModifiedBy>
  <dcterms:created xsi:type="dcterms:W3CDTF">2015-06-05T18:17:20Z</dcterms:created>
  <dcterms:modified xsi:type="dcterms:W3CDTF">2023-05-10T22:03:16Z</dcterms:modified>
</cp:coreProperties>
</file>